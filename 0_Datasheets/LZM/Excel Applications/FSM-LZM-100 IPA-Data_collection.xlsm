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90" yWindow="1305" windowWidth="15480" windowHeight="9300"/>
  </bookViews>
  <sheets>
    <sheet name="Data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H4" i="1" l="1"/>
  <c r="H125" i="1"/>
  <c r="H122" i="1"/>
  <c r="H118" i="1"/>
  <c r="H114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115" i="1"/>
  <c r="H119" i="1"/>
  <c r="H123" i="1"/>
  <c r="H116" i="1"/>
  <c r="H120" i="1"/>
  <c r="H124" i="1"/>
  <c r="H113" i="1"/>
  <c r="H117" i="1"/>
  <c r="H121" i="1"/>
</calcChain>
</file>

<file path=xl/sharedStrings.xml><?xml version="1.0" encoding="utf-8"?>
<sst xmlns="http://schemas.openxmlformats.org/spreadsheetml/2006/main" count="37" uniqueCount="29">
  <si>
    <t>deg</t>
    <phoneticPr fontId="1"/>
  </si>
  <si>
    <t>L</t>
    <phoneticPr fontId="1"/>
  </si>
  <si>
    <t>R</t>
    <phoneticPr fontId="1"/>
  </si>
  <si>
    <t>IPA DATA</t>
    <phoneticPr fontId="1"/>
  </si>
  <si>
    <t>Command:</t>
    <phoneticPr fontId="1"/>
  </si>
  <si>
    <t>=IPADL (for LEFT fiber data)</t>
    <phoneticPr fontId="1"/>
  </si>
  <si>
    <t>=IPADR (for RIGHT fiber data)</t>
    <phoneticPr fontId="1"/>
  </si>
  <si>
    <t>Retrieve Data</t>
    <phoneticPr fontId="1"/>
  </si>
  <si>
    <t>4096 byte Binary Data</t>
    <phoneticPr fontId="1"/>
  </si>
  <si>
    <t>(1024 of float data)</t>
    <phoneticPr fontId="1"/>
  </si>
  <si>
    <t>data(0)--&gt;angle data of 1st data</t>
    <phoneticPr fontId="1"/>
  </si>
  <si>
    <t>data(1)--&gt;IPA data of 1st data</t>
    <phoneticPr fontId="1"/>
  </si>
  <si>
    <t>data(2)--&gt;angle data of 2nd data</t>
    <phoneticPr fontId="1"/>
  </si>
  <si>
    <t>data(3)--&gt;IPA data of 2nd data</t>
    <phoneticPr fontId="1"/>
  </si>
  <si>
    <t>ditto….</t>
    <phoneticPr fontId="1"/>
  </si>
  <si>
    <t>filler data -99999.9.</t>
    <phoneticPr fontId="1"/>
  </si>
  <si>
    <t>Data Format</t>
    <phoneticPr fontId="1"/>
  </si>
  <si>
    <t>After align</t>
  </si>
  <si>
    <t>deg/dB</t>
  </si>
  <si>
    <t xml:space="preserve">Left fiber:  </t>
  </si>
  <si>
    <t xml:space="preserve">Right fiber:  </t>
  </si>
  <si>
    <t xml:space="preserve">IPA estimation:  </t>
  </si>
  <si>
    <t xml:space="preserve">Adaptif PER measurement:  </t>
  </si>
  <si>
    <t>PM980</t>
  </si>
  <si>
    <t>dB</t>
  </si>
  <si>
    <t>Panda</t>
  </si>
  <si>
    <t>IPA data collection for FSM-100P/P+ and LZM-100</t>
  </si>
  <si>
    <t>Manually input data here for problem analysis</t>
  </si>
  <si>
    <t>For 32 bit and 64 bit platform, 5/20/2014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</si>
</sst>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_ "/>
    <numFmt numFmtId="178" formatCode="0.00_);[Red]\(0.00\)"/>
    <numFmt numFmtId="180" formatCode="0.00_ "/>
  </numFmts>
  <fonts count="8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8"/>
      <color indexed="16"/>
      <name val="Arial"/>
      <family val="2"/>
    </font>
    <font>
      <b/>
      <sz val="12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180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left" vertical="center"/>
    </xf>
    <xf numFmtId="0" fontId="2" fillId="0" borderId="0" xfId="0" quotePrefix="1" applyFont="1">
      <alignment vertical="center"/>
    </xf>
    <xf numFmtId="0" fontId="3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IPA Before PM alignment</a:t>
            </a:r>
          </a:p>
        </c:rich>
      </c:tx>
      <c:layout>
        <c:manualLayout>
          <c:xMode val="edge"/>
          <c:yMode val="edge"/>
          <c:x val="0.24875215974887563"/>
          <c:y val="1.3624550337202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17032204952542"/>
          <c:y val="0.19619168125238245"/>
          <c:w val="0.76384486609539104"/>
          <c:h val="0.62944831068472706"/>
        </c:manualLayout>
      </c:layout>
      <c:scatterChart>
        <c:scatterStyle val="smoothMarker"/>
        <c:varyColors val="0"/>
        <c:ser>
          <c:idx val="0"/>
          <c:order val="0"/>
          <c:tx>
            <c:v>Left fiber</c:v>
          </c:tx>
          <c:spPr>
            <a:ln>
              <a:solidFill>
                <a:schemeClr val="accent1"/>
              </a:solidFill>
            </a:ln>
          </c:spPr>
          <c:marker>
            <c:symbol val="diamond"/>
            <c:size val="3"/>
            <c:spPr>
              <a:ln>
                <a:noFill/>
              </a:ln>
            </c:spPr>
          </c:marker>
          <c:xVal>
            <c:numRef>
              <c:f>Data!$C$6:$C$128</c:f>
              <c:numCache>
                <c:formatCode>0.00_ </c:formatCode>
                <c:ptCount val="123"/>
                <c:pt idx="0">
                  <c:v>-146.11494445800781</c:v>
                </c:pt>
                <c:pt idx="1">
                  <c:v>-142.85508728027344</c:v>
                </c:pt>
                <c:pt idx="2">
                  <c:v>-140.00180053710937</c:v>
                </c:pt>
                <c:pt idx="3">
                  <c:v>-137.15945434570312</c:v>
                </c:pt>
                <c:pt idx="4">
                  <c:v>-133.76747131347656</c:v>
                </c:pt>
                <c:pt idx="5">
                  <c:v>-130.90609741210937</c:v>
                </c:pt>
                <c:pt idx="6">
                  <c:v>-128.05870056152344</c:v>
                </c:pt>
                <c:pt idx="7">
                  <c:v>-124.80265808105469</c:v>
                </c:pt>
                <c:pt idx="8">
                  <c:v>-121.94557189941406</c:v>
                </c:pt>
                <c:pt idx="9">
                  <c:v>-118.96218872070312</c:v>
                </c:pt>
                <c:pt idx="10">
                  <c:v>-115.71122741699219</c:v>
                </c:pt>
                <c:pt idx="11">
                  <c:v>-112.85195922851562</c:v>
                </c:pt>
                <c:pt idx="12">
                  <c:v>-110.00674438476562</c:v>
                </c:pt>
                <c:pt idx="13">
                  <c:v>-106.74964904785156</c:v>
                </c:pt>
                <c:pt idx="14">
                  <c:v>-103.76468658447266</c:v>
                </c:pt>
                <c:pt idx="15">
                  <c:v>-100.91103363037109</c:v>
                </c:pt>
                <c:pt idx="16">
                  <c:v>-98.058265686035156</c:v>
                </c:pt>
                <c:pt idx="17">
                  <c:v>-94.804267883300781</c:v>
                </c:pt>
                <c:pt idx="18">
                  <c:v>-91.941757202148438</c:v>
                </c:pt>
                <c:pt idx="19">
                  <c:v>-89.094841003417969</c:v>
                </c:pt>
                <c:pt idx="20">
                  <c:v>-85.704391479492188</c:v>
                </c:pt>
                <c:pt idx="21">
                  <c:v>-82.848213195800781</c:v>
                </c:pt>
                <c:pt idx="22">
                  <c:v>-79.998291015625</c:v>
                </c:pt>
                <c:pt idx="23">
                  <c:v>-76.744590759277344</c:v>
                </c:pt>
                <c:pt idx="24">
                  <c:v>-73.889984130859375</c:v>
                </c:pt>
                <c:pt idx="25">
                  <c:v>-71.038597106933594</c:v>
                </c:pt>
                <c:pt idx="26">
                  <c:v>-67.654838562011719</c:v>
                </c:pt>
                <c:pt idx="27">
                  <c:v>-64.798553466796875</c:v>
                </c:pt>
                <c:pt idx="28">
                  <c:v>-61.951160430908203</c:v>
                </c:pt>
                <c:pt idx="29">
                  <c:v>-59.094902038574219</c:v>
                </c:pt>
                <c:pt idx="30">
                  <c:v>-55.833740234375</c:v>
                </c:pt>
                <c:pt idx="31">
                  <c:v>-52.976650238037109</c:v>
                </c:pt>
                <c:pt idx="32">
                  <c:v>-49.99835205078125</c:v>
                </c:pt>
                <c:pt idx="33">
                  <c:v>-46.745975494384766</c:v>
                </c:pt>
                <c:pt idx="34">
                  <c:v>-43.887153625488281</c:v>
                </c:pt>
                <c:pt idx="35">
                  <c:v>-41.038661956787109</c:v>
                </c:pt>
                <c:pt idx="36">
                  <c:v>-37.780727386474609</c:v>
                </c:pt>
                <c:pt idx="37">
                  <c:v>-34.7957763671875</c:v>
                </c:pt>
                <c:pt idx="38">
                  <c:v>-31.942111968994141</c:v>
                </c:pt>
                <c:pt idx="39">
                  <c:v>-29.07142448425293</c:v>
                </c:pt>
                <c:pt idx="40">
                  <c:v>-25.838678359985352</c:v>
                </c:pt>
                <c:pt idx="41">
                  <c:v>-22.981584548950195</c:v>
                </c:pt>
                <c:pt idx="42">
                  <c:v>-19.600013732910156</c:v>
                </c:pt>
                <c:pt idx="43">
                  <c:v>-16.739532470703125</c:v>
                </c:pt>
                <c:pt idx="44">
                  <c:v>-13.892086029052734</c:v>
                </c:pt>
                <c:pt idx="45">
                  <c:v>-11.01518440246582</c:v>
                </c:pt>
                <c:pt idx="46">
                  <c:v>-7.7824368476867676</c:v>
                </c:pt>
                <c:pt idx="47">
                  <c:v>-4.9294519424438477</c:v>
                </c:pt>
                <c:pt idx="48">
                  <c:v>-2.0648081302642822</c:v>
                </c:pt>
                <c:pt idx="49">
                  <c:v>0.91734552383422852</c:v>
                </c:pt>
                <c:pt idx="50">
                  <c:v>4.1725168228149414</c:v>
                </c:pt>
                <c:pt idx="51">
                  <c:v>7.03173828125</c:v>
                </c:pt>
                <c:pt idx="52">
                  <c:v>10.270577430725098</c:v>
                </c:pt>
                <c:pt idx="53">
                  <c:v>13.124513626098633</c:v>
                </c:pt>
                <c:pt idx="54">
                  <c:v>16.12037467956543</c:v>
                </c:pt>
                <c:pt idx="55">
                  <c:v>18.97358512878418</c:v>
                </c:pt>
                <c:pt idx="56">
                  <c:v>22.222942352294922</c:v>
                </c:pt>
                <c:pt idx="57">
                  <c:v>25.087976455688477</c:v>
                </c:pt>
                <c:pt idx="58">
                  <c:v>27.930257797241211</c:v>
                </c:pt>
                <c:pt idx="59">
                  <c:v>31.188190460205078</c:v>
                </c:pt>
                <c:pt idx="60">
                  <c:v>34.181404113769531</c:v>
                </c:pt>
                <c:pt idx="61">
                  <c:v>37.026805877685547</c:v>
                </c:pt>
                <c:pt idx="62">
                  <c:v>40.279182434082031</c:v>
                </c:pt>
                <c:pt idx="63">
                  <c:v>43.138004302978516</c:v>
                </c:pt>
                <c:pt idx="64">
                  <c:v>45.983226776123047</c:v>
                </c:pt>
                <c:pt idx="65">
                  <c:v>49.368904113769531</c:v>
                </c:pt>
                <c:pt idx="66">
                  <c:v>52.225460052490234</c:v>
                </c:pt>
                <c:pt idx="67">
                  <c:v>55.083045959472656</c:v>
                </c:pt>
                <c:pt idx="68">
                  <c:v>57.9537353515625</c:v>
                </c:pt>
                <c:pt idx="69">
                  <c:v>61.183254241943359</c:v>
                </c:pt>
                <c:pt idx="70">
                  <c:v>64.0435791015625</c:v>
                </c:pt>
                <c:pt idx="71">
                  <c:v>66.899238586425781</c:v>
                </c:pt>
                <c:pt idx="72">
                  <c:v>70.267265319824219</c:v>
                </c:pt>
                <c:pt idx="73">
                  <c:v>73.141433715820313</c:v>
                </c:pt>
                <c:pt idx="74">
                  <c:v>75.991142272949219</c:v>
                </c:pt>
                <c:pt idx="75">
                  <c:v>78.835723876953125</c:v>
                </c:pt>
                <c:pt idx="76">
                  <c:v>82.09686279296875</c:v>
                </c:pt>
                <c:pt idx="77">
                  <c:v>85.094085693359375</c:v>
                </c:pt>
                <c:pt idx="78">
                  <c:v>87.9425048828125</c:v>
                </c:pt>
                <c:pt idx="79">
                  <c:v>91.188308715820313</c:v>
                </c:pt>
                <c:pt idx="80">
                  <c:v>94.047386169433594</c:v>
                </c:pt>
                <c:pt idx="81">
                  <c:v>96.915321350097656</c:v>
                </c:pt>
                <c:pt idx="82">
                  <c:v>100.28069305419922</c:v>
                </c:pt>
                <c:pt idx="83">
                  <c:v>103.12814331054687</c:v>
                </c:pt>
                <c:pt idx="84">
                  <c:v>105.99874114990234</c:v>
                </c:pt>
                <c:pt idx="85">
                  <c:v>109.23455810546875</c:v>
                </c:pt>
                <c:pt idx="86">
                  <c:v>112.09192657470703</c:v>
                </c:pt>
                <c:pt idx="87">
                  <c:v>114.95541381835937</c:v>
                </c:pt>
                <c:pt idx="88">
                  <c:v>117.79859924316406</c:v>
                </c:pt>
                <c:pt idx="89">
                  <c:v>121.19716644287109</c:v>
                </c:pt>
                <c:pt idx="90">
                  <c:v>124.05704498291016</c:v>
                </c:pt>
                <c:pt idx="91">
                  <c:v>126.89936065673828</c:v>
                </c:pt>
                <c:pt idx="92">
                  <c:v>130.15171813964844</c:v>
                </c:pt>
                <c:pt idx="93">
                  <c:v>133.00837707519531</c:v>
                </c:pt>
                <c:pt idx="94">
                  <c:v>136.00009155273437</c:v>
                </c:pt>
                <c:pt idx="95">
                  <c:v>139.246826171875</c:v>
                </c:pt>
                <c:pt idx="96">
                  <c:v>142.10198974609375</c:v>
                </c:pt>
                <c:pt idx="97">
                  <c:v>144.95559692382812</c:v>
                </c:pt>
                <c:pt idx="98">
                  <c:v>148.20840454101562</c:v>
                </c:pt>
                <c:pt idx="99">
                  <c:v>151.06874084472656</c:v>
                </c:pt>
                <c:pt idx="100">
                  <c:v>154.05210876464844</c:v>
                </c:pt>
                <c:pt idx="101">
                  <c:v>156.92437744140625</c:v>
                </c:pt>
                <c:pt idx="102">
                  <c:v>160.15046691894531</c:v>
                </c:pt>
                <c:pt idx="103">
                  <c:v>163.007568359375</c:v>
                </c:pt>
                <c:pt idx="104">
                  <c:v>166.26466369628906</c:v>
                </c:pt>
                <c:pt idx="105">
                  <c:v>169.24960327148437</c:v>
                </c:pt>
                <c:pt idx="106">
                  <c:v>172.10116577148437</c:v>
                </c:pt>
                <c:pt idx="107">
                  <c:v>174.98062133789063</c:v>
                </c:pt>
                <c:pt idx="108">
                  <c:v>178.20671081542969</c:v>
                </c:pt>
                <c:pt idx="109">
                  <c:v>181.06808471679687</c:v>
                </c:pt>
                <c:pt idx="110">
                  <c:v>183.92433166503906</c:v>
                </c:pt>
                <c:pt idx="111">
                  <c:v>186.906494140625</c:v>
                </c:pt>
                <c:pt idx="112">
                  <c:v>190.16166687011719</c:v>
                </c:pt>
                <c:pt idx="113">
                  <c:v>193.0208740234375</c:v>
                </c:pt>
                <c:pt idx="114">
                  <c:v>196.25973510742187</c:v>
                </c:pt>
                <c:pt idx="115">
                  <c:v>199.12063598632812</c:v>
                </c:pt>
                <c:pt idx="116">
                  <c:v>201.98141479492187</c:v>
                </c:pt>
                <c:pt idx="117">
                  <c:v>204.96900939941406</c:v>
                </c:pt>
                <c:pt idx="118">
                  <c:v>208.21208190917969</c:v>
                </c:pt>
                <c:pt idx="119">
                  <c:v>211.07711791992187</c:v>
                </c:pt>
                <c:pt idx="120">
                  <c:v>213.91940307617187</c:v>
                </c:pt>
                <c:pt idx="121">
                  <c:v>217.18055725097656</c:v>
                </c:pt>
                <c:pt idx="122">
                  <c:v>220.17054748535156</c:v>
                </c:pt>
              </c:numCache>
            </c:numRef>
          </c:xVal>
          <c:yVal>
            <c:numRef>
              <c:f>Data!$D$6:$D$128</c:f>
              <c:numCache>
                <c:formatCode>0.00_ </c:formatCode>
                <c:ptCount val="123"/>
                <c:pt idx="0">
                  <c:v>4251.86181640625</c:v>
                </c:pt>
                <c:pt idx="1">
                  <c:v>4262.35888671875</c:v>
                </c:pt>
                <c:pt idx="2">
                  <c:v>3483.889404296875</c:v>
                </c:pt>
                <c:pt idx="3">
                  <c:v>2964.69775390625</c:v>
                </c:pt>
                <c:pt idx="4">
                  <c:v>2087.46875</c:v>
                </c:pt>
                <c:pt idx="5">
                  <c:v>2083.91162109375</c:v>
                </c:pt>
                <c:pt idx="6">
                  <c:v>2365.533447265625</c:v>
                </c:pt>
                <c:pt idx="7">
                  <c:v>2047.0693359375</c:v>
                </c:pt>
                <c:pt idx="8">
                  <c:v>1530.1328125</c:v>
                </c:pt>
                <c:pt idx="9">
                  <c:v>717.10791015625</c:v>
                </c:pt>
                <c:pt idx="10">
                  <c:v>811.32586669921875</c:v>
                </c:pt>
                <c:pt idx="11">
                  <c:v>782.74127197265625</c:v>
                </c:pt>
                <c:pt idx="12">
                  <c:v>526.5439453125</c:v>
                </c:pt>
                <c:pt idx="13">
                  <c:v>0</c:v>
                </c:pt>
                <c:pt idx="14">
                  <c:v>336.0277099609375</c:v>
                </c:pt>
                <c:pt idx="15">
                  <c:v>362.61138916015625</c:v>
                </c:pt>
                <c:pt idx="16">
                  <c:v>440.15499877929687</c:v>
                </c:pt>
                <c:pt idx="17">
                  <c:v>712.40728759765625</c:v>
                </c:pt>
                <c:pt idx="18">
                  <c:v>504.18447875976562</c:v>
                </c:pt>
                <c:pt idx="19">
                  <c:v>591.92327880859375</c:v>
                </c:pt>
                <c:pt idx="20">
                  <c:v>1194.7403564453125</c:v>
                </c:pt>
                <c:pt idx="21">
                  <c:v>824.12530517578125</c:v>
                </c:pt>
                <c:pt idx="22">
                  <c:v>1411.7291259765625</c:v>
                </c:pt>
                <c:pt idx="23">
                  <c:v>2185.974609375</c:v>
                </c:pt>
                <c:pt idx="24">
                  <c:v>2372.425537109375</c:v>
                </c:pt>
                <c:pt idx="25">
                  <c:v>2900.12841796875</c:v>
                </c:pt>
                <c:pt idx="26">
                  <c:v>3228.91455078125</c:v>
                </c:pt>
                <c:pt idx="27">
                  <c:v>3824.236328125</c:v>
                </c:pt>
                <c:pt idx="28">
                  <c:v>4249.01953125</c:v>
                </c:pt>
                <c:pt idx="29">
                  <c:v>4483.41357421875</c:v>
                </c:pt>
                <c:pt idx="30">
                  <c:v>5032.443359375</c:v>
                </c:pt>
                <c:pt idx="31">
                  <c:v>6039.98681640625</c:v>
                </c:pt>
                <c:pt idx="32">
                  <c:v>6584.77685546875</c:v>
                </c:pt>
                <c:pt idx="33">
                  <c:v>7517.87353515625</c:v>
                </c:pt>
                <c:pt idx="34">
                  <c:v>7961.66455078125</c:v>
                </c:pt>
                <c:pt idx="35">
                  <c:v>8764.4150390625</c:v>
                </c:pt>
                <c:pt idx="36">
                  <c:v>10068.03125</c:v>
                </c:pt>
                <c:pt idx="37">
                  <c:v>11820.4560546875</c:v>
                </c:pt>
                <c:pt idx="38">
                  <c:v>13247.6220703125</c:v>
                </c:pt>
                <c:pt idx="39">
                  <c:v>14252.4814453125</c:v>
                </c:pt>
                <c:pt idx="40">
                  <c:v>14286.1474609375</c:v>
                </c:pt>
                <c:pt idx="41">
                  <c:v>14386.3046875</c:v>
                </c:pt>
                <c:pt idx="42">
                  <c:v>13123.7080078125</c:v>
                </c:pt>
                <c:pt idx="43">
                  <c:v>15688.9521484375</c:v>
                </c:pt>
                <c:pt idx="44">
                  <c:v>20883.9296875</c:v>
                </c:pt>
                <c:pt idx="45">
                  <c:v>28848.455078125</c:v>
                </c:pt>
                <c:pt idx="46">
                  <c:v>28757.951171875</c:v>
                </c:pt>
                <c:pt idx="47">
                  <c:v>19967.875</c:v>
                </c:pt>
                <c:pt idx="48">
                  <c:v>14868.462890625</c:v>
                </c:pt>
                <c:pt idx="49">
                  <c:v>14425.560546875</c:v>
                </c:pt>
                <c:pt idx="50">
                  <c:v>15616.87109375</c:v>
                </c:pt>
                <c:pt idx="51">
                  <c:v>14236.044921875</c:v>
                </c:pt>
                <c:pt idx="52">
                  <c:v>13248.0029296875</c:v>
                </c:pt>
                <c:pt idx="53">
                  <c:v>10698.130859375</c:v>
                </c:pt>
                <c:pt idx="54">
                  <c:v>9616.490234375</c:v>
                </c:pt>
                <c:pt idx="55">
                  <c:v>9067.189453125</c:v>
                </c:pt>
                <c:pt idx="56">
                  <c:v>8227.4853515625</c:v>
                </c:pt>
                <c:pt idx="57">
                  <c:v>7200.47314453125</c:v>
                </c:pt>
                <c:pt idx="58">
                  <c:v>6673.1669921875</c:v>
                </c:pt>
                <c:pt idx="59">
                  <c:v>6326.8486328125</c:v>
                </c:pt>
                <c:pt idx="60">
                  <c:v>5162.8369140625</c:v>
                </c:pt>
                <c:pt idx="61">
                  <c:v>4514.458984375</c:v>
                </c:pt>
                <c:pt idx="62">
                  <c:v>4992.1708984375</c:v>
                </c:pt>
                <c:pt idx="63">
                  <c:v>3801.495849609375</c:v>
                </c:pt>
                <c:pt idx="64">
                  <c:v>2594.464111328125</c:v>
                </c:pt>
                <c:pt idx="65">
                  <c:v>2844.357177734375</c:v>
                </c:pt>
                <c:pt idx="66">
                  <c:v>2534.65869140625</c:v>
                </c:pt>
                <c:pt idx="67">
                  <c:v>2531.73681640625</c:v>
                </c:pt>
                <c:pt idx="68">
                  <c:v>2198.758056640625</c:v>
                </c:pt>
                <c:pt idx="69">
                  <c:v>1388.4486083984375</c:v>
                </c:pt>
                <c:pt idx="70">
                  <c:v>1503.4222412109375</c:v>
                </c:pt>
                <c:pt idx="71">
                  <c:v>981.308837890625</c:v>
                </c:pt>
                <c:pt idx="72">
                  <c:v>619.79327392578125</c:v>
                </c:pt>
                <c:pt idx="73">
                  <c:v>256.53079223632812</c:v>
                </c:pt>
                <c:pt idx="74">
                  <c:v>812.94561767578125</c:v>
                </c:pt>
                <c:pt idx="75">
                  <c:v>278.47738647460937</c:v>
                </c:pt>
                <c:pt idx="76">
                  <c:v>588.921875</c:v>
                </c:pt>
                <c:pt idx="77">
                  <c:v>389.33795166015625</c:v>
                </c:pt>
                <c:pt idx="78">
                  <c:v>587.9849853515625</c:v>
                </c:pt>
                <c:pt idx="79">
                  <c:v>504.8673095703125</c:v>
                </c:pt>
                <c:pt idx="80">
                  <c:v>701.78338623046875</c:v>
                </c:pt>
                <c:pt idx="81">
                  <c:v>1542.3289794921875</c:v>
                </c:pt>
                <c:pt idx="82">
                  <c:v>1516.4599609375</c:v>
                </c:pt>
                <c:pt idx="83">
                  <c:v>2009.38525390625</c:v>
                </c:pt>
                <c:pt idx="84">
                  <c:v>3070.016357421875</c:v>
                </c:pt>
                <c:pt idx="85">
                  <c:v>2997.1416015625</c:v>
                </c:pt>
                <c:pt idx="86">
                  <c:v>3212.145263671875</c:v>
                </c:pt>
                <c:pt idx="87">
                  <c:v>3924.298583984375</c:v>
                </c:pt>
                <c:pt idx="88">
                  <c:v>3702.22802734375</c:v>
                </c:pt>
                <c:pt idx="89">
                  <c:v>4319.57568359375</c:v>
                </c:pt>
                <c:pt idx="90">
                  <c:v>4921.37646484375</c:v>
                </c:pt>
                <c:pt idx="91">
                  <c:v>5423.06787109375</c:v>
                </c:pt>
                <c:pt idx="92">
                  <c:v>6133.490234375</c:v>
                </c:pt>
                <c:pt idx="93">
                  <c:v>6882.533203125</c:v>
                </c:pt>
                <c:pt idx="94">
                  <c:v>7478.69677734375</c:v>
                </c:pt>
                <c:pt idx="95">
                  <c:v>8239.9833984375</c:v>
                </c:pt>
                <c:pt idx="96">
                  <c:v>9224.4365234375</c:v>
                </c:pt>
                <c:pt idx="97">
                  <c:v>11463.81640625</c:v>
                </c:pt>
                <c:pt idx="98">
                  <c:v>12703.1171875</c:v>
                </c:pt>
                <c:pt idx="99">
                  <c:v>14007.2099609375</c:v>
                </c:pt>
                <c:pt idx="100">
                  <c:v>14780.0419921875</c:v>
                </c:pt>
                <c:pt idx="101">
                  <c:v>14721.904296875</c:v>
                </c:pt>
                <c:pt idx="102">
                  <c:v>14250.2421875</c:v>
                </c:pt>
                <c:pt idx="103">
                  <c:v>14803.2109375</c:v>
                </c:pt>
                <c:pt idx="104">
                  <c:v>20320.037109375</c:v>
                </c:pt>
                <c:pt idx="105">
                  <c:v>29107.52734375</c:v>
                </c:pt>
                <c:pt idx="106">
                  <c:v>30000</c:v>
                </c:pt>
                <c:pt idx="107">
                  <c:v>24878.533203125</c:v>
                </c:pt>
                <c:pt idx="108">
                  <c:v>14449.5244140625</c:v>
                </c:pt>
                <c:pt idx="109">
                  <c:v>13616.0771484375</c:v>
                </c:pt>
                <c:pt idx="110">
                  <c:v>15206.7451171875</c:v>
                </c:pt>
                <c:pt idx="111">
                  <c:v>14364.025390625</c:v>
                </c:pt>
                <c:pt idx="112">
                  <c:v>14099.140625</c:v>
                </c:pt>
                <c:pt idx="113">
                  <c:v>12401.3916015625</c:v>
                </c:pt>
                <c:pt idx="114">
                  <c:v>9886.7099609375</c:v>
                </c:pt>
                <c:pt idx="115">
                  <c:v>9260.21484375</c:v>
                </c:pt>
                <c:pt idx="116">
                  <c:v>8266.154296875</c:v>
                </c:pt>
                <c:pt idx="117">
                  <c:v>7890.1083984375</c:v>
                </c:pt>
                <c:pt idx="118">
                  <c:v>6680.74169921875</c:v>
                </c:pt>
                <c:pt idx="119">
                  <c:v>6016.9443359375</c:v>
                </c:pt>
                <c:pt idx="120">
                  <c:v>5124.390625</c:v>
                </c:pt>
                <c:pt idx="121">
                  <c:v>4388.4326171875</c:v>
                </c:pt>
                <c:pt idx="122">
                  <c:v>4029.06103515625</c:v>
                </c:pt>
              </c:numCache>
            </c:numRef>
          </c:yVal>
          <c:smooth val="1"/>
        </c:ser>
        <c:ser>
          <c:idx val="2"/>
          <c:order val="1"/>
          <c:tx>
            <c:v>Right fiber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Data!$F$6:$F$128</c:f>
              <c:numCache>
                <c:formatCode>0.00_ </c:formatCode>
                <c:ptCount val="123"/>
                <c:pt idx="0">
                  <c:v>-146.22410583496094</c:v>
                </c:pt>
                <c:pt idx="1">
                  <c:v>-142.96623229980469</c:v>
                </c:pt>
                <c:pt idx="2">
                  <c:v>-140.11466979980469</c:v>
                </c:pt>
                <c:pt idx="3">
                  <c:v>-137.27403259277344</c:v>
                </c:pt>
                <c:pt idx="4">
                  <c:v>-133.88407897949219</c:v>
                </c:pt>
                <c:pt idx="5">
                  <c:v>-131.02442932128906</c:v>
                </c:pt>
                <c:pt idx="6">
                  <c:v>-128.17874145507812</c:v>
                </c:pt>
                <c:pt idx="7">
                  <c:v>-124.92467498779297</c:v>
                </c:pt>
                <c:pt idx="8">
                  <c:v>-122.06929779052734</c:v>
                </c:pt>
                <c:pt idx="9">
                  <c:v>-119.08772277832031</c:v>
                </c:pt>
                <c:pt idx="10">
                  <c:v>-115.83872222900391</c:v>
                </c:pt>
                <c:pt idx="11">
                  <c:v>-112.98117828369141</c:v>
                </c:pt>
                <c:pt idx="12">
                  <c:v>-110.13766479492187</c:v>
                </c:pt>
                <c:pt idx="13">
                  <c:v>-106.88253021240234</c:v>
                </c:pt>
                <c:pt idx="14">
                  <c:v>-103.89938354492187</c:v>
                </c:pt>
                <c:pt idx="15">
                  <c:v>-101.04743957519531</c:v>
                </c:pt>
                <c:pt idx="16">
                  <c:v>-98.196395874023438</c:v>
                </c:pt>
                <c:pt idx="17">
                  <c:v>-94.944358825683594</c:v>
                </c:pt>
                <c:pt idx="18">
                  <c:v>-92.083572387695312</c:v>
                </c:pt>
                <c:pt idx="19">
                  <c:v>-89.238365173339844</c:v>
                </c:pt>
                <c:pt idx="20">
                  <c:v>-85.849960327148437</c:v>
                </c:pt>
                <c:pt idx="21">
                  <c:v>-82.995506286621094</c:v>
                </c:pt>
                <c:pt idx="22">
                  <c:v>-80.147293090820313</c:v>
                </c:pt>
                <c:pt idx="23">
                  <c:v>-76.895561218261719</c:v>
                </c:pt>
                <c:pt idx="24">
                  <c:v>-74.042678833007813</c:v>
                </c:pt>
                <c:pt idx="25">
                  <c:v>-71.193008422851563</c:v>
                </c:pt>
                <c:pt idx="26">
                  <c:v>-67.811286926269531</c:v>
                </c:pt>
                <c:pt idx="27">
                  <c:v>-64.956718444824219</c:v>
                </c:pt>
                <c:pt idx="28">
                  <c:v>-62.111045837402344</c:v>
                </c:pt>
                <c:pt idx="29">
                  <c:v>-59.256504058837891</c:v>
                </c:pt>
                <c:pt idx="30">
                  <c:v>-55.997310638427734</c:v>
                </c:pt>
                <c:pt idx="31">
                  <c:v>-53.141941070556641</c:v>
                </c:pt>
                <c:pt idx="32">
                  <c:v>-50.165439605712891</c:v>
                </c:pt>
                <c:pt idx="33">
                  <c:v>-46.915023803710937</c:v>
                </c:pt>
                <c:pt idx="34">
                  <c:v>-44.05792236328125</c:v>
                </c:pt>
                <c:pt idx="35">
                  <c:v>-41.211147308349609</c:v>
                </c:pt>
                <c:pt idx="36">
                  <c:v>-37.955181121826172</c:v>
                </c:pt>
                <c:pt idx="37">
                  <c:v>-34.972023010253906</c:v>
                </c:pt>
                <c:pt idx="38">
                  <c:v>-32.120079040527344</c:v>
                </c:pt>
                <c:pt idx="39">
                  <c:v>-29.251121520996094</c:v>
                </c:pt>
                <c:pt idx="40">
                  <c:v>-26.020322799682617</c:v>
                </c:pt>
                <c:pt idx="41">
                  <c:v>-23.164953231811523</c:v>
                </c:pt>
                <c:pt idx="42">
                  <c:v>-19.785421371459961</c:v>
                </c:pt>
                <c:pt idx="43">
                  <c:v>-16.926662445068359</c:v>
                </c:pt>
                <c:pt idx="44">
                  <c:v>-14.0809326171875</c:v>
                </c:pt>
                <c:pt idx="45">
                  <c:v>-11.205761909484863</c:v>
                </c:pt>
                <c:pt idx="46">
                  <c:v>-7.9749641418457031</c:v>
                </c:pt>
                <c:pt idx="47">
                  <c:v>-5.1236987113952637</c:v>
                </c:pt>
                <c:pt idx="48">
                  <c:v>-2.2607808113098145</c:v>
                </c:pt>
                <c:pt idx="49">
                  <c:v>0.71957570314407349</c:v>
                </c:pt>
                <c:pt idx="50">
                  <c:v>3.972785472869873</c:v>
                </c:pt>
                <c:pt idx="51">
                  <c:v>6.8302836418151855</c:v>
                </c:pt>
                <c:pt idx="52">
                  <c:v>10.067171096801758</c:v>
                </c:pt>
                <c:pt idx="53">
                  <c:v>12.919386863708496</c:v>
                </c:pt>
                <c:pt idx="54">
                  <c:v>15.913443565368652</c:v>
                </c:pt>
                <c:pt idx="55">
                  <c:v>18.764936447143555</c:v>
                </c:pt>
                <c:pt idx="56">
                  <c:v>22.012331008911133</c:v>
                </c:pt>
                <c:pt idx="57">
                  <c:v>24.875642776489258</c:v>
                </c:pt>
                <c:pt idx="58">
                  <c:v>27.716211318969727</c:v>
                </c:pt>
                <c:pt idx="59">
                  <c:v>30.972179412841797</c:v>
                </c:pt>
                <c:pt idx="60">
                  <c:v>33.963592529296875</c:v>
                </c:pt>
                <c:pt idx="61">
                  <c:v>36.807277679443359</c:v>
                </c:pt>
                <c:pt idx="62">
                  <c:v>40.057689666748047</c:v>
                </c:pt>
                <c:pt idx="63">
                  <c:v>42.914794921875</c:v>
                </c:pt>
                <c:pt idx="64">
                  <c:v>45.758296966552734</c:v>
                </c:pt>
                <c:pt idx="65">
                  <c:v>49.141937255859375</c:v>
                </c:pt>
                <c:pt idx="66">
                  <c:v>51.996776580810547</c:v>
                </c:pt>
                <c:pt idx="67">
                  <c:v>54.852634429931641</c:v>
                </c:pt>
                <c:pt idx="68">
                  <c:v>57.721595764160156</c:v>
                </c:pt>
                <c:pt idx="69">
                  <c:v>60.949165344238281</c:v>
                </c:pt>
                <c:pt idx="70">
                  <c:v>63.807765960693359</c:v>
                </c:pt>
                <c:pt idx="71">
                  <c:v>66.661705017089844</c:v>
                </c:pt>
                <c:pt idx="72">
                  <c:v>70.027702331542969</c:v>
                </c:pt>
                <c:pt idx="73">
                  <c:v>72.900138854980469</c:v>
                </c:pt>
                <c:pt idx="74">
                  <c:v>75.748130798339844</c:v>
                </c:pt>
                <c:pt idx="75">
                  <c:v>78.590988159179687</c:v>
                </c:pt>
                <c:pt idx="76">
                  <c:v>81.850173950195313</c:v>
                </c:pt>
                <c:pt idx="77">
                  <c:v>84.845588684082031</c:v>
                </c:pt>
                <c:pt idx="78">
                  <c:v>87.692291259765625</c:v>
                </c:pt>
                <c:pt idx="79">
                  <c:v>90.936141967773438</c:v>
                </c:pt>
                <c:pt idx="80">
                  <c:v>93.793495178222656</c:v>
                </c:pt>
                <c:pt idx="81">
                  <c:v>96.659706115722656</c:v>
                </c:pt>
                <c:pt idx="82">
                  <c:v>100.02304840087891</c:v>
                </c:pt>
                <c:pt idx="83">
                  <c:v>102.86878204345703</c:v>
                </c:pt>
                <c:pt idx="84">
                  <c:v>105.73764801025391</c:v>
                </c:pt>
                <c:pt idx="85">
                  <c:v>108.97151947021484</c:v>
                </c:pt>
                <c:pt idx="86">
                  <c:v>111.82716369628906</c:v>
                </c:pt>
                <c:pt idx="87">
                  <c:v>114.68893432617187</c:v>
                </c:pt>
                <c:pt idx="88">
                  <c:v>117.5303955078125</c:v>
                </c:pt>
                <c:pt idx="89">
                  <c:v>120.92691802978516</c:v>
                </c:pt>
                <c:pt idx="90">
                  <c:v>123.78507232666016</c:v>
                </c:pt>
                <c:pt idx="91">
                  <c:v>126.62566375732422</c:v>
                </c:pt>
                <c:pt idx="92">
                  <c:v>129.87608337402344</c:v>
                </c:pt>
                <c:pt idx="93">
                  <c:v>132.73100280761719</c:v>
                </c:pt>
                <c:pt idx="94">
                  <c:v>135.72093200683594</c:v>
                </c:pt>
                <c:pt idx="95">
                  <c:v>138.9656982421875</c:v>
                </c:pt>
                <c:pt idx="96">
                  <c:v>141.81913757324219</c:v>
                </c:pt>
                <c:pt idx="97">
                  <c:v>144.67103576660156</c:v>
                </c:pt>
                <c:pt idx="98">
                  <c:v>147.921875</c:v>
                </c:pt>
                <c:pt idx="99">
                  <c:v>150.78047180175781</c:v>
                </c:pt>
                <c:pt idx="100">
                  <c:v>153.76205444335938</c:v>
                </c:pt>
                <c:pt idx="101">
                  <c:v>156.63258361816406</c:v>
                </c:pt>
                <c:pt idx="102">
                  <c:v>159.85675048828125</c:v>
                </c:pt>
                <c:pt idx="103">
                  <c:v>162.71212768554688</c:v>
                </c:pt>
                <c:pt idx="104">
                  <c:v>165.96723937988281</c:v>
                </c:pt>
                <c:pt idx="105">
                  <c:v>168.95039367675781</c:v>
                </c:pt>
                <c:pt idx="106">
                  <c:v>171.80023193359375</c:v>
                </c:pt>
                <c:pt idx="107">
                  <c:v>174.67794799804687</c:v>
                </c:pt>
                <c:pt idx="108">
                  <c:v>177.902099609375</c:v>
                </c:pt>
                <c:pt idx="109">
                  <c:v>180.76173400878906</c:v>
                </c:pt>
                <c:pt idx="110">
                  <c:v>183.61628723144531</c:v>
                </c:pt>
                <c:pt idx="111">
                  <c:v>186.59663391113281</c:v>
                </c:pt>
                <c:pt idx="112">
                  <c:v>189.849853515625</c:v>
                </c:pt>
                <c:pt idx="113">
                  <c:v>192.70735168457031</c:v>
                </c:pt>
                <c:pt idx="114">
                  <c:v>195.94422912597656</c:v>
                </c:pt>
                <c:pt idx="115">
                  <c:v>198.80343627929687</c:v>
                </c:pt>
                <c:pt idx="116">
                  <c:v>201.66249084472656</c:v>
                </c:pt>
                <c:pt idx="117">
                  <c:v>204.64828491210937</c:v>
                </c:pt>
                <c:pt idx="118">
                  <c:v>207.88938903808594</c:v>
                </c:pt>
                <c:pt idx="119">
                  <c:v>210.75270080566406</c:v>
                </c:pt>
                <c:pt idx="120">
                  <c:v>213.59327697753906</c:v>
                </c:pt>
                <c:pt idx="121">
                  <c:v>216.85247802734375</c:v>
                </c:pt>
                <c:pt idx="122">
                  <c:v>219.84065246582031</c:v>
                </c:pt>
              </c:numCache>
            </c:numRef>
          </c:xVal>
          <c:yVal>
            <c:numRef>
              <c:f>Data!$G$6:$G$128</c:f>
              <c:numCache>
                <c:formatCode>0.00_ </c:formatCode>
                <c:ptCount val="123"/>
                <c:pt idx="0">
                  <c:v>3672.46630859375</c:v>
                </c:pt>
                <c:pt idx="1">
                  <c:v>3997.997314453125</c:v>
                </c:pt>
                <c:pt idx="2">
                  <c:v>4496.29931640625</c:v>
                </c:pt>
                <c:pt idx="3">
                  <c:v>4634.1181640625</c:v>
                </c:pt>
                <c:pt idx="4">
                  <c:v>5120.88232421875</c:v>
                </c:pt>
                <c:pt idx="5">
                  <c:v>5203.07763671875</c:v>
                </c:pt>
                <c:pt idx="6">
                  <c:v>6020.14794921875</c:v>
                </c:pt>
                <c:pt idx="7">
                  <c:v>6789.1435546875</c:v>
                </c:pt>
                <c:pt idx="8">
                  <c:v>7222.67138671875</c:v>
                </c:pt>
                <c:pt idx="9">
                  <c:v>7584.89453125</c:v>
                </c:pt>
                <c:pt idx="10">
                  <c:v>9068.6474609375</c:v>
                </c:pt>
                <c:pt idx="11">
                  <c:v>8936.990234375</c:v>
                </c:pt>
                <c:pt idx="12">
                  <c:v>11550.3125</c:v>
                </c:pt>
                <c:pt idx="13">
                  <c:v>13536.9267578125</c:v>
                </c:pt>
                <c:pt idx="14">
                  <c:v>14128.361328125</c:v>
                </c:pt>
                <c:pt idx="15">
                  <c:v>14362.423828125</c:v>
                </c:pt>
                <c:pt idx="16">
                  <c:v>14637.5068359375</c:v>
                </c:pt>
                <c:pt idx="17">
                  <c:v>14388.009765625</c:v>
                </c:pt>
                <c:pt idx="18">
                  <c:v>13485.5400390625</c:v>
                </c:pt>
                <c:pt idx="19">
                  <c:v>18391.921875</c:v>
                </c:pt>
                <c:pt idx="20">
                  <c:v>27698.73046875</c:v>
                </c:pt>
                <c:pt idx="21">
                  <c:v>30000</c:v>
                </c:pt>
                <c:pt idx="22">
                  <c:v>27181.48046875</c:v>
                </c:pt>
                <c:pt idx="23">
                  <c:v>17606.69140625</c:v>
                </c:pt>
                <c:pt idx="24">
                  <c:v>14392.6162109375</c:v>
                </c:pt>
                <c:pt idx="25">
                  <c:v>15544.783203125</c:v>
                </c:pt>
                <c:pt idx="26">
                  <c:v>15558.7080078125</c:v>
                </c:pt>
                <c:pt idx="27">
                  <c:v>14307.7392578125</c:v>
                </c:pt>
                <c:pt idx="28">
                  <c:v>13343.3759765625</c:v>
                </c:pt>
                <c:pt idx="29">
                  <c:v>10517.1865234375</c:v>
                </c:pt>
                <c:pt idx="30">
                  <c:v>9694.4169921875</c:v>
                </c:pt>
                <c:pt idx="31">
                  <c:v>9366.8681640625</c:v>
                </c:pt>
                <c:pt idx="32">
                  <c:v>8168.07177734375</c:v>
                </c:pt>
                <c:pt idx="33">
                  <c:v>7421.7373046875</c:v>
                </c:pt>
                <c:pt idx="34">
                  <c:v>6800.28076171875</c:v>
                </c:pt>
                <c:pt idx="35">
                  <c:v>5729.72265625</c:v>
                </c:pt>
                <c:pt idx="36">
                  <c:v>5163.9365234375</c:v>
                </c:pt>
                <c:pt idx="37">
                  <c:v>4388.6875</c:v>
                </c:pt>
                <c:pt idx="38">
                  <c:v>4235.3876953125</c:v>
                </c:pt>
                <c:pt idx="39">
                  <c:v>3810.808837890625</c:v>
                </c:pt>
                <c:pt idx="40">
                  <c:v>3414.450439453125</c:v>
                </c:pt>
                <c:pt idx="41">
                  <c:v>3594.984375</c:v>
                </c:pt>
                <c:pt idx="42">
                  <c:v>3045.587890625</c:v>
                </c:pt>
                <c:pt idx="43">
                  <c:v>2263.51513671875</c:v>
                </c:pt>
                <c:pt idx="44">
                  <c:v>1524.249755859375</c:v>
                </c:pt>
                <c:pt idx="45">
                  <c:v>1057.6954345703125</c:v>
                </c:pt>
                <c:pt idx="46">
                  <c:v>1195.344970703125</c:v>
                </c:pt>
                <c:pt idx="47">
                  <c:v>637.84588623046875</c:v>
                </c:pt>
                <c:pt idx="48">
                  <c:v>799.895263671875</c:v>
                </c:pt>
                <c:pt idx="49">
                  <c:v>235.69552612304687</c:v>
                </c:pt>
                <c:pt idx="50">
                  <c:v>361.19134521484375</c:v>
                </c:pt>
                <c:pt idx="51">
                  <c:v>798.61676025390625</c:v>
                </c:pt>
                <c:pt idx="52">
                  <c:v>1035.267333984375</c:v>
                </c:pt>
                <c:pt idx="53">
                  <c:v>1064.7196044921875</c:v>
                </c:pt>
                <c:pt idx="54">
                  <c:v>363.28628540039062</c:v>
                </c:pt>
                <c:pt idx="55">
                  <c:v>473.03927612304687</c:v>
                </c:pt>
                <c:pt idx="56">
                  <c:v>2009.2115478515625</c:v>
                </c:pt>
                <c:pt idx="57">
                  <c:v>1860.1015625</c:v>
                </c:pt>
                <c:pt idx="58">
                  <c:v>2188.1435546875</c:v>
                </c:pt>
                <c:pt idx="59">
                  <c:v>2837.48095703125</c:v>
                </c:pt>
                <c:pt idx="60">
                  <c:v>2981.538330078125</c:v>
                </c:pt>
                <c:pt idx="61">
                  <c:v>3000.685302734375</c:v>
                </c:pt>
                <c:pt idx="62">
                  <c:v>4206.3359375</c:v>
                </c:pt>
                <c:pt idx="63">
                  <c:v>4826.8056640625</c:v>
                </c:pt>
                <c:pt idx="64">
                  <c:v>4471.283203125</c:v>
                </c:pt>
                <c:pt idx="65">
                  <c:v>5239.26171875</c:v>
                </c:pt>
                <c:pt idx="66">
                  <c:v>5736.17724609375</c:v>
                </c:pt>
                <c:pt idx="67">
                  <c:v>6706.30078125</c:v>
                </c:pt>
                <c:pt idx="68">
                  <c:v>7453.037109375</c:v>
                </c:pt>
                <c:pt idx="69">
                  <c:v>8043.439453125</c:v>
                </c:pt>
                <c:pt idx="70">
                  <c:v>9211.0107421875</c:v>
                </c:pt>
                <c:pt idx="71">
                  <c:v>9639.2392578125</c:v>
                </c:pt>
                <c:pt idx="72">
                  <c:v>10624.3515625</c:v>
                </c:pt>
                <c:pt idx="73">
                  <c:v>12954.9970703125</c:v>
                </c:pt>
                <c:pt idx="74">
                  <c:v>14060.21484375</c:v>
                </c:pt>
                <c:pt idx="75">
                  <c:v>14205.828125</c:v>
                </c:pt>
                <c:pt idx="76">
                  <c:v>14551.2138671875</c:v>
                </c:pt>
                <c:pt idx="77">
                  <c:v>14673.5830078125</c:v>
                </c:pt>
                <c:pt idx="78">
                  <c:v>14017.8994140625</c:v>
                </c:pt>
                <c:pt idx="79">
                  <c:v>16140.853515625</c:v>
                </c:pt>
                <c:pt idx="80">
                  <c:v>25735.900390625</c:v>
                </c:pt>
                <c:pt idx="81">
                  <c:v>29691.259765625</c:v>
                </c:pt>
                <c:pt idx="82">
                  <c:v>27042.72265625</c:v>
                </c:pt>
                <c:pt idx="83">
                  <c:v>19359.736328125</c:v>
                </c:pt>
                <c:pt idx="84">
                  <c:v>14897.001953125</c:v>
                </c:pt>
                <c:pt idx="85">
                  <c:v>15789.7216796875</c:v>
                </c:pt>
                <c:pt idx="86">
                  <c:v>15704.7373046875</c:v>
                </c:pt>
                <c:pt idx="87">
                  <c:v>15002.2412109375</c:v>
                </c:pt>
                <c:pt idx="88">
                  <c:v>13811.36328125</c:v>
                </c:pt>
                <c:pt idx="89">
                  <c:v>11804.2158203125</c:v>
                </c:pt>
                <c:pt idx="90">
                  <c:v>10193.9970703125</c:v>
                </c:pt>
                <c:pt idx="91">
                  <c:v>9626.30078125</c:v>
                </c:pt>
                <c:pt idx="92">
                  <c:v>8453.7529296875</c:v>
                </c:pt>
                <c:pt idx="93">
                  <c:v>7809.42236328125</c:v>
                </c:pt>
                <c:pt idx="94">
                  <c:v>6812.55712890625</c:v>
                </c:pt>
                <c:pt idx="95">
                  <c:v>5979.60498046875</c:v>
                </c:pt>
                <c:pt idx="96">
                  <c:v>5648.5595703125</c:v>
                </c:pt>
                <c:pt idx="97">
                  <c:v>4819.705078125</c:v>
                </c:pt>
                <c:pt idx="98">
                  <c:v>3908.901123046875</c:v>
                </c:pt>
                <c:pt idx="99">
                  <c:v>3822.31591796875</c:v>
                </c:pt>
                <c:pt idx="100">
                  <c:v>3019.6171875</c:v>
                </c:pt>
                <c:pt idx="101">
                  <c:v>3368.77783203125</c:v>
                </c:pt>
                <c:pt idx="102">
                  <c:v>2668.623046875</c:v>
                </c:pt>
                <c:pt idx="103">
                  <c:v>2739.927978515625</c:v>
                </c:pt>
                <c:pt idx="104">
                  <c:v>2068.639892578125</c:v>
                </c:pt>
                <c:pt idx="105">
                  <c:v>1107.06494140625</c:v>
                </c:pt>
                <c:pt idx="106">
                  <c:v>671.98101806640625</c:v>
                </c:pt>
                <c:pt idx="107">
                  <c:v>667.2982177734375</c:v>
                </c:pt>
                <c:pt idx="108">
                  <c:v>0</c:v>
                </c:pt>
                <c:pt idx="109">
                  <c:v>82.5650634765625</c:v>
                </c:pt>
                <c:pt idx="110">
                  <c:v>854.31732177734375</c:v>
                </c:pt>
                <c:pt idx="111">
                  <c:v>1022.405029296875</c:v>
                </c:pt>
                <c:pt idx="112">
                  <c:v>1304.974609375</c:v>
                </c:pt>
                <c:pt idx="113">
                  <c:v>1488.7127685546875</c:v>
                </c:pt>
                <c:pt idx="114">
                  <c:v>1284.19482421875</c:v>
                </c:pt>
                <c:pt idx="115">
                  <c:v>1338.3704833984375</c:v>
                </c:pt>
                <c:pt idx="116">
                  <c:v>1994.82421875</c:v>
                </c:pt>
                <c:pt idx="117">
                  <c:v>2035.7833251953125</c:v>
                </c:pt>
                <c:pt idx="118">
                  <c:v>1996.3492431640625</c:v>
                </c:pt>
                <c:pt idx="119">
                  <c:v>3479.85546875</c:v>
                </c:pt>
                <c:pt idx="120">
                  <c:v>3170.205810546875</c:v>
                </c:pt>
                <c:pt idx="121">
                  <c:v>4139.39013671875</c:v>
                </c:pt>
                <c:pt idx="122">
                  <c:v>4333.06396484375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74368"/>
        <c:axId val="63362688"/>
      </c:scatterChart>
      <c:valAx>
        <c:axId val="2326743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Angle (deg)</a:t>
                </a:r>
              </a:p>
            </c:rich>
          </c:tx>
          <c:layout>
            <c:manualLayout>
              <c:xMode val="edge"/>
              <c:yMode val="edge"/>
              <c:x val="0.41961223440034817"/>
              <c:y val="0.901936821929956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63362688"/>
        <c:crosses val="autoZero"/>
        <c:crossBetween val="midCat"/>
      </c:valAx>
      <c:valAx>
        <c:axId val="63362688"/>
        <c:scaling>
          <c:orientation val="minMax"/>
          <c:max val="3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IPA Profiles</a:t>
                </a:r>
              </a:p>
            </c:rich>
          </c:tx>
          <c:layout>
            <c:manualLayout>
              <c:xMode val="edge"/>
              <c:yMode val="edge"/>
              <c:x val="4.2714886769807045E-2"/>
              <c:y val="0.39783303653800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674368"/>
        <c:crosses val="autoZero"/>
        <c:crossBetween val="midCat"/>
        <c:majorUnit val="5000"/>
        <c:minorUnit val="60"/>
      </c:valAx>
    </c:plotArea>
    <c:legend>
      <c:legendPos val="t"/>
      <c:layout>
        <c:manualLayout>
          <c:xMode val="edge"/>
          <c:yMode val="edge"/>
          <c:x val="0.26634062701961247"/>
          <c:y val="8.7196321168300839E-2"/>
          <c:w val="0.46232712117015518"/>
          <c:h val="6.539709784233374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IPA after PM alignment</a:t>
            </a:r>
          </a:p>
        </c:rich>
      </c:tx>
      <c:layout>
        <c:manualLayout>
          <c:xMode val="edge"/>
          <c:yMode val="edge"/>
          <c:x val="0.32324271587263714"/>
          <c:y val="3.324216051940875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7413974662816"/>
          <c:y val="0.20499289646879429"/>
          <c:w val="0.84043098367164748"/>
          <c:h val="0.6177488636829882"/>
        </c:manualLayout>
      </c:layout>
      <c:scatterChart>
        <c:scatterStyle val="smoothMarker"/>
        <c:varyColors val="0"/>
        <c:ser>
          <c:idx val="0"/>
          <c:order val="0"/>
          <c:tx>
            <c:v>Left fiber</c:v>
          </c:tx>
          <c:spPr>
            <a:ln>
              <a:solidFill>
                <a:schemeClr val="accent1"/>
              </a:solidFill>
            </a:ln>
          </c:spPr>
          <c:marker>
            <c:symbol val="diamond"/>
            <c:size val="3"/>
            <c:spPr>
              <a:ln>
                <a:noFill/>
              </a:ln>
            </c:spPr>
          </c:marker>
          <c:xVal>
            <c:numRef>
              <c:f>Data!$C$6:$C$128</c:f>
              <c:numCache>
                <c:formatCode>0.00_ </c:formatCode>
                <c:ptCount val="123"/>
                <c:pt idx="0">
                  <c:v>-146.11494445800781</c:v>
                </c:pt>
                <c:pt idx="1">
                  <c:v>-142.85508728027344</c:v>
                </c:pt>
                <c:pt idx="2">
                  <c:v>-140.00180053710937</c:v>
                </c:pt>
                <c:pt idx="3">
                  <c:v>-137.15945434570312</c:v>
                </c:pt>
                <c:pt idx="4">
                  <c:v>-133.76747131347656</c:v>
                </c:pt>
                <c:pt idx="5">
                  <c:v>-130.90609741210937</c:v>
                </c:pt>
                <c:pt idx="6">
                  <c:v>-128.05870056152344</c:v>
                </c:pt>
                <c:pt idx="7">
                  <c:v>-124.80265808105469</c:v>
                </c:pt>
                <c:pt idx="8">
                  <c:v>-121.94557189941406</c:v>
                </c:pt>
                <c:pt idx="9">
                  <c:v>-118.96218872070312</c:v>
                </c:pt>
                <c:pt idx="10">
                  <c:v>-115.71122741699219</c:v>
                </c:pt>
                <c:pt idx="11">
                  <c:v>-112.85195922851562</c:v>
                </c:pt>
                <c:pt idx="12">
                  <c:v>-110.00674438476562</c:v>
                </c:pt>
                <c:pt idx="13">
                  <c:v>-106.74964904785156</c:v>
                </c:pt>
                <c:pt idx="14">
                  <c:v>-103.76468658447266</c:v>
                </c:pt>
                <c:pt idx="15">
                  <c:v>-100.91103363037109</c:v>
                </c:pt>
                <c:pt idx="16">
                  <c:v>-98.058265686035156</c:v>
                </c:pt>
                <c:pt idx="17">
                  <c:v>-94.804267883300781</c:v>
                </c:pt>
                <c:pt idx="18">
                  <c:v>-91.941757202148438</c:v>
                </c:pt>
                <c:pt idx="19">
                  <c:v>-89.094841003417969</c:v>
                </c:pt>
                <c:pt idx="20">
                  <c:v>-85.704391479492188</c:v>
                </c:pt>
                <c:pt idx="21">
                  <c:v>-82.848213195800781</c:v>
                </c:pt>
                <c:pt idx="22">
                  <c:v>-79.998291015625</c:v>
                </c:pt>
                <c:pt idx="23">
                  <c:v>-76.744590759277344</c:v>
                </c:pt>
                <c:pt idx="24">
                  <c:v>-73.889984130859375</c:v>
                </c:pt>
                <c:pt idx="25">
                  <c:v>-71.038597106933594</c:v>
                </c:pt>
                <c:pt idx="26">
                  <c:v>-67.654838562011719</c:v>
                </c:pt>
                <c:pt idx="27">
                  <c:v>-64.798553466796875</c:v>
                </c:pt>
                <c:pt idx="28">
                  <c:v>-61.951160430908203</c:v>
                </c:pt>
                <c:pt idx="29">
                  <c:v>-59.094902038574219</c:v>
                </c:pt>
                <c:pt idx="30">
                  <c:v>-55.833740234375</c:v>
                </c:pt>
                <c:pt idx="31">
                  <c:v>-52.976650238037109</c:v>
                </c:pt>
                <c:pt idx="32">
                  <c:v>-49.99835205078125</c:v>
                </c:pt>
                <c:pt idx="33">
                  <c:v>-46.745975494384766</c:v>
                </c:pt>
                <c:pt idx="34">
                  <c:v>-43.887153625488281</c:v>
                </c:pt>
                <c:pt idx="35">
                  <c:v>-41.038661956787109</c:v>
                </c:pt>
                <c:pt idx="36">
                  <c:v>-37.780727386474609</c:v>
                </c:pt>
                <c:pt idx="37">
                  <c:v>-34.7957763671875</c:v>
                </c:pt>
                <c:pt idx="38">
                  <c:v>-31.942111968994141</c:v>
                </c:pt>
                <c:pt idx="39">
                  <c:v>-29.07142448425293</c:v>
                </c:pt>
                <c:pt idx="40">
                  <c:v>-25.838678359985352</c:v>
                </c:pt>
                <c:pt idx="41">
                  <c:v>-22.981584548950195</c:v>
                </c:pt>
                <c:pt idx="42">
                  <c:v>-19.600013732910156</c:v>
                </c:pt>
                <c:pt idx="43">
                  <c:v>-16.739532470703125</c:v>
                </c:pt>
                <c:pt idx="44">
                  <c:v>-13.892086029052734</c:v>
                </c:pt>
                <c:pt idx="45">
                  <c:v>-11.01518440246582</c:v>
                </c:pt>
                <c:pt idx="46">
                  <c:v>-7.7824368476867676</c:v>
                </c:pt>
                <c:pt idx="47">
                  <c:v>-4.9294519424438477</c:v>
                </c:pt>
                <c:pt idx="48">
                  <c:v>-2.0648081302642822</c:v>
                </c:pt>
                <c:pt idx="49">
                  <c:v>0.91734552383422852</c:v>
                </c:pt>
                <c:pt idx="50">
                  <c:v>4.1725168228149414</c:v>
                </c:pt>
                <c:pt idx="51">
                  <c:v>7.03173828125</c:v>
                </c:pt>
                <c:pt idx="52">
                  <c:v>10.270577430725098</c:v>
                </c:pt>
                <c:pt idx="53">
                  <c:v>13.124513626098633</c:v>
                </c:pt>
                <c:pt idx="54">
                  <c:v>16.12037467956543</c:v>
                </c:pt>
                <c:pt idx="55">
                  <c:v>18.97358512878418</c:v>
                </c:pt>
                <c:pt idx="56">
                  <c:v>22.222942352294922</c:v>
                </c:pt>
                <c:pt idx="57">
                  <c:v>25.087976455688477</c:v>
                </c:pt>
                <c:pt idx="58">
                  <c:v>27.930257797241211</c:v>
                </c:pt>
                <c:pt idx="59">
                  <c:v>31.188190460205078</c:v>
                </c:pt>
                <c:pt idx="60">
                  <c:v>34.181404113769531</c:v>
                </c:pt>
                <c:pt idx="61">
                  <c:v>37.026805877685547</c:v>
                </c:pt>
                <c:pt idx="62">
                  <c:v>40.279182434082031</c:v>
                </c:pt>
                <c:pt idx="63">
                  <c:v>43.138004302978516</c:v>
                </c:pt>
                <c:pt idx="64">
                  <c:v>45.983226776123047</c:v>
                </c:pt>
                <c:pt idx="65">
                  <c:v>49.368904113769531</c:v>
                </c:pt>
                <c:pt idx="66">
                  <c:v>52.225460052490234</c:v>
                </c:pt>
                <c:pt idx="67">
                  <c:v>55.083045959472656</c:v>
                </c:pt>
                <c:pt idx="68">
                  <c:v>57.9537353515625</c:v>
                </c:pt>
                <c:pt idx="69">
                  <c:v>61.183254241943359</c:v>
                </c:pt>
                <c:pt idx="70">
                  <c:v>64.0435791015625</c:v>
                </c:pt>
                <c:pt idx="71">
                  <c:v>66.899238586425781</c:v>
                </c:pt>
                <c:pt idx="72">
                  <c:v>70.267265319824219</c:v>
                </c:pt>
                <c:pt idx="73">
                  <c:v>73.141433715820313</c:v>
                </c:pt>
                <c:pt idx="74">
                  <c:v>75.991142272949219</c:v>
                </c:pt>
                <c:pt idx="75">
                  <c:v>78.835723876953125</c:v>
                </c:pt>
                <c:pt idx="76">
                  <c:v>82.09686279296875</c:v>
                </c:pt>
                <c:pt idx="77">
                  <c:v>85.094085693359375</c:v>
                </c:pt>
                <c:pt idx="78">
                  <c:v>87.9425048828125</c:v>
                </c:pt>
                <c:pt idx="79">
                  <c:v>91.188308715820313</c:v>
                </c:pt>
                <c:pt idx="80">
                  <c:v>94.047386169433594</c:v>
                </c:pt>
                <c:pt idx="81">
                  <c:v>96.915321350097656</c:v>
                </c:pt>
                <c:pt idx="82">
                  <c:v>100.28069305419922</c:v>
                </c:pt>
                <c:pt idx="83">
                  <c:v>103.12814331054687</c:v>
                </c:pt>
                <c:pt idx="84">
                  <c:v>105.99874114990234</c:v>
                </c:pt>
                <c:pt idx="85">
                  <c:v>109.23455810546875</c:v>
                </c:pt>
                <c:pt idx="86">
                  <c:v>112.09192657470703</c:v>
                </c:pt>
                <c:pt idx="87">
                  <c:v>114.95541381835937</c:v>
                </c:pt>
                <c:pt idx="88">
                  <c:v>117.79859924316406</c:v>
                </c:pt>
                <c:pt idx="89">
                  <c:v>121.19716644287109</c:v>
                </c:pt>
                <c:pt idx="90">
                  <c:v>124.05704498291016</c:v>
                </c:pt>
                <c:pt idx="91">
                  <c:v>126.89936065673828</c:v>
                </c:pt>
                <c:pt idx="92">
                  <c:v>130.15171813964844</c:v>
                </c:pt>
                <c:pt idx="93">
                  <c:v>133.00837707519531</c:v>
                </c:pt>
                <c:pt idx="94">
                  <c:v>136.00009155273437</c:v>
                </c:pt>
                <c:pt idx="95">
                  <c:v>139.246826171875</c:v>
                </c:pt>
                <c:pt idx="96">
                  <c:v>142.10198974609375</c:v>
                </c:pt>
                <c:pt idx="97">
                  <c:v>144.95559692382812</c:v>
                </c:pt>
                <c:pt idx="98">
                  <c:v>148.20840454101562</c:v>
                </c:pt>
                <c:pt idx="99">
                  <c:v>151.06874084472656</c:v>
                </c:pt>
                <c:pt idx="100">
                  <c:v>154.05210876464844</c:v>
                </c:pt>
                <c:pt idx="101">
                  <c:v>156.92437744140625</c:v>
                </c:pt>
                <c:pt idx="102">
                  <c:v>160.15046691894531</c:v>
                </c:pt>
                <c:pt idx="103">
                  <c:v>163.007568359375</c:v>
                </c:pt>
                <c:pt idx="104">
                  <c:v>166.26466369628906</c:v>
                </c:pt>
                <c:pt idx="105">
                  <c:v>169.24960327148437</c:v>
                </c:pt>
                <c:pt idx="106">
                  <c:v>172.10116577148437</c:v>
                </c:pt>
                <c:pt idx="107">
                  <c:v>174.98062133789063</c:v>
                </c:pt>
                <c:pt idx="108">
                  <c:v>178.20671081542969</c:v>
                </c:pt>
                <c:pt idx="109">
                  <c:v>181.06808471679687</c:v>
                </c:pt>
                <c:pt idx="110">
                  <c:v>183.92433166503906</c:v>
                </c:pt>
                <c:pt idx="111">
                  <c:v>186.906494140625</c:v>
                </c:pt>
                <c:pt idx="112">
                  <c:v>190.16166687011719</c:v>
                </c:pt>
                <c:pt idx="113">
                  <c:v>193.0208740234375</c:v>
                </c:pt>
                <c:pt idx="114">
                  <c:v>196.25973510742187</c:v>
                </c:pt>
                <c:pt idx="115">
                  <c:v>199.12063598632812</c:v>
                </c:pt>
                <c:pt idx="116">
                  <c:v>201.98141479492187</c:v>
                </c:pt>
                <c:pt idx="117">
                  <c:v>204.96900939941406</c:v>
                </c:pt>
                <c:pt idx="118">
                  <c:v>208.21208190917969</c:v>
                </c:pt>
                <c:pt idx="119">
                  <c:v>211.07711791992187</c:v>
                </c:pt>
                <c:pt idx="120">
                  <c:v>213.91940307617187</c:v>
                </c:pt>
                <c:pt idx="121">
                  <c:v>217.18055725097656</c:v>
                </c:pt>
                <c:pt idx="122">
                  <c:v>220.17054748535156</c:v>
                </c:pt>
              </c:numCache>
            </c:numRef>
          </c:xVal>
          <c:yVal>
            <c:numRef>
              <c:f>Data!$D$6:$D$128</c:f>
              <c:numCache>
                <c:formatCode>0.00_ </c:formatCode>
                <c:ptCount val="123"/>
                <c:pt idx="0">
                  <c:v>4251.86181640625</c:v>
                </c:pt>
                <c:pt idx="1">
                  <c:v>4262.35888671875</c:v>
                </c:pt>
                <c:pt idx="2">
                  <c:v>3483.889404296875</c:v>
                </c:pt>
                <c:pt idx="3">
                  <c:v>2964.69775390625</c:v>
                </c:pt>
                <c:pt idx="4">
                  <c:v>2087.46875</c:v>
                </c:pt>
                <c:pt idx="5">
                  <c:v>2083.91162109375</c:v>
                </c:pt>
                <c:pt idx="6">
                  <c:v>2365.533447265625</c:v>
                </c:pt>
                <c:pt idx="7">
                  <c:v>2047.0693359375</c:v>
                </c:pt>
                <c:pt idx="8">
                  <c:v>1530.1328125</c:v>
                </c:pt>
                <c:pt idx="9">
                  <c:v>717.10791015625</c:v>
                </c:pt>
                <c:pt idx="10">
                  <c:v>811.32586669921875</c:v>
                </c:pt>
                <c:pt idx="11">
                  <c:v>782.74127197265625</c:v>
                </c:pt>
                <c:pt idx="12">
                  <c:v>526.5439453125</c:v>
                </c:pt>
                <c:pt idx="13">
                  <c:v>0</c:v>
                </c:pt>
                <c:pt idx="14">
                  <c:v>336.0277099609375</c:v>
                </c:pt>
                <c:pt idx="15">
                  <c:v>362.61138916015625</c:v>
                </c:pt>
                <c:pt idx="16">
                  <c:v>440.15499877929687</c:v>
                </c:pt>
                <c:pt idx="17">
                  <c:v>712.40728759765625</c:v>
                </c:pt>
                <c:pt idx="18">
                  <c:v>504.18447875976562</c:v>
                </c:pt>
                <c:pt idx="19">
                  <c:v>591.92327880859375</c:v>
                </c:pt>
                <c:pt idx="20">
                  <c:v>1194.7403564453125</c:v>
                </c:pt>
                <c:pt idx="21">
                  <c:v>824.12530517578125</c:v>
                </c:pt>
                <c:pt idx="22">
                  <c:v>1411.7291259765625</c:v>
                </c:pt>
                <c:pt idx="23">
                  <c:v>2185.974609375</c:v>
                </c:pt>
                <c:pt idx="24">
                  <c:v>2372.425537109375</c:v>
                </c:pt>
                <c:pt idx="25">
                  <c:v>2900.12841796875</c:v>
                </c:pt>
                <c:pt idx="26">
                  <c:v>3228.91455078125</c:v>
                </c:pt>
                <c:pt idx="27">
                  <c:v>3824.236328125</c:v>
                </c:pt>
                <c:pt idx="28">
                  <c:v>4249.01953125</c:v>
                </c:pt>
                <c:pt idx="29">
                  <c:v>4483.41357421875</c:v>
                </c:pt>
                <c:pt idx="30">
                  <c:v>5032.443359375</c:v>
                </c:pt>
                <c:pt idx="31">
                  <c:v>6039.98681640625</c:v>
                </c:pt>
                <c:pt idx="32">
                  <c:v>6584.77685546875</c:v>
                </c:pt>
                <c:pt idx="33">
                  <c:v>7517.87353515625</c:v>
                </c:pt>
                <c:pt idx="34">
                  <c:v>7961.66455078125</c:v>
                </c:pt>
                <c:pt idx="35">
                  <c:v>8764.4150390625</c:v>
                </c:pt>
                <c:pt idx="36">
                  <c:v>10068.03125</c:v>
                </c:pt>
                <c:pt idx="37">
                  <c:v>11820.4560546875</c:v>
                </c:pt>
                <c:pt idx="38">
                  <c:v>13247.6220703125</c:v>
                </c:pt>
                <c:pt idx="39">
                  <c:v>14252.4814453125</c:v>
                </c:pt>
                <c:pt idx="40">
                  <c:v>14286.1474609375</c:v>
                </c:pt>
                <c:pt idx="41">
                  <c:v>14386.3046875</c:v>
                </c:pt>
                <c:pt idx="42">
                  <c:v>13123.7080078125</c:v>
                </c:pt>
                <c:pt idx="43">
                  <c:v>15688.9521484375</c:v>
                </c:pt>
                <c:pt idx="44">
                  <c:v>20883.9296875</c:v>
                </c:pt>
                <c:pt idx="45">
                  <c:v>28848.455078125</c:v>
                </c:pt>
                <c:pt idx="46">
                  <c:v>28757.951171875</c:v>
                </c:pt>
                <c:pt idx="47">
                  <c:v>19967.875</c:v>
                </c:pt>
                <c:pt idx="48">
                  <c:v>14868.462890625</c:v>
                </c:pt>
                <c:pt idx="49">
                  <c:v>14425.560546875</c:v>
                </c:pt>
                <c:pt idx="50">
                  <c:v>15616.87109375</c:v>
                </c:pt>
                <c:pt idx="51">
                  <c:v>14236.044921875</c:v>
                </c:pt>
                <c:pt idx="52">
                  <c:v>13248.0029296875</c:v>
                </c:pt>
                <c:pt idx="53">
                  <c:v>10698.130859375</c:v>
                </c:pt>
                <c:pt idx="54">
                  <c:v>9616.490234375</c:v>
                </c:pt>
                <c:pt idx="55">
                  <c:v>9067.189453125</c:v>
                </c:pt>
                <c:pt idx="56">
                  <c:v>8227.4853515625</c:v>
                </c:pt>
                <c:pt idx="57">
                  <c:v>7200.47314453125</c:v>
                </c:pt>
                <c:pt idx="58">
                  <c:v>6673.1669921875</c:v>
                </c:pt>
                <c:pt idx="59">
                  <c:v>6326.8486328125</c:v>
                </c:pt>
                <c:pt idx="60">
                  <c:v>5162.8369140625</c:v>
                </c:pt>
                <c:pt idx="61">
                  <c:v>4514.458984375</c:v>
                </c:pt>
                <c:pt idx="62">
                  <c:v>4992.1708984375</c:v>
                </c:pt>
                <c:pt idx="63">
                  <c:v>3801.495849609375</c:v>
                </c:pt>
                <c:pt idx="64">
                  <c:v>2594.464111328125</c:v>
                </c:pt>
                <c:pt idx="65">
                  <c:v>2844.357177734375</c:v>
                </c:pt>
                <c:pt idx="66">
                  <c:v>2534.65869140625</c:v>
                </c:pt>
                <c:pt idx="67">
                  <c:v>2531.73681640625</c:v>
                </c:pt>
                <c:pt idx="68">
                  <c:v>2198.758056640625</c:v>
                </c:pt>
                <c:pt idx="69">
                  <c:v>1388.4486083984375</c:v>
                </c:pt>
                <c:pt idx="70">
                  <c:v>1503.4222412109375</c:v>
                </c:pt>
                <c:pt idx="71">
                  <c:v>981.308837890625</c:v>
                </c:pt>
                <c:pt idx="72">
                  <c:v>619.79327392578125</c:v>
                </c:pt>
                <c:pt idx="73">
                  <c:v>256.53079223632812</c:v>
                </c:pt>
                <c:pt idx="74">
                  <c:v>812.94561767578125</c:v>
                </c:pt>
                <c:pt idx="75">
                  <c:v>278.47738647460937</c:v>
                </c:pt>
                <c:pt idx="76">
                  <c:v>588.921875</c:v>
                </c:pt>
                <c:pt idx="77">
                  <c:v>389.33795166015625</c:v>
                </c:pt>
                <c:pt idx="78">
                  <c:v>587.9849853515625</c:v>
                </c:pt>
                <c:pt idx="79">
                  <c:v>504.8673095703125</c:v>
                </c:pt>
                <c:pt idx="80">
                  <c:v>701.78338623046875</c:v>
                </c:pt>
                <c:pt idx="81">
                  <c:v>1542.3289794921875</c:v>
                </c:pt>
                <c:pt idx="82">
                  <c:v>1516.4599609375</c:v>
                </c:pt>
                <c:pt idx="83">
                  <c:v>2009.38525390625</c:v>
                </c:pt>
                <c:pt idx="84">
                  <c:v>3070.016357421875</c:v>
                </c:pt>
                <c:pt idx="85">
                  <c:v>2997.1416015625</c:v>
                </c:pt>
                <c:pt idx="86">
                  <c:v>3212.145263671875</c:v>
                </c:pt>
                <c:pt idx="87">
                  <c:v>3924.298583984375</c:v>
                </c:pt>
                <c:pt idx="88">
                  <c:v>3702.22802734375</c:v>
                </c:pt>
                <c:pt idx="89">
                  <c:v>4319.57568359375</c:v>
                </c:pt>
                <c:pt idx="90">
                  <c:v>4921.37646484375</c:v>
                </c:pt>
                <c:pt idx="91">
                  <c:v>5423.06787109375</c:v>
                </c:pt>
                <c:pt idx="92">
                  <c:v>6133.490234375</c:v>
                </c:pt>
                <c:pt idx="93">
                  <c:v>6882.533203125</c:v>
                </c:pt>
                <c:pt idx="94">
                  <c:v>7478.69677734375</c:v>
                </c:pt>
                <c:pt idx="95">
                  <c:v>8239.9833984375</c:v>
                </c:pt>
                <c:pt idx="96">
                  <c:v>9224.4365234375</c:v>
                </c:pt>
                <c:pt idx="97">
                  <c:v>11463.81640625</c:v>
                </c:pt>
                <c:pt idx="98">
                  <c:v>12703.1171875</c:v>
                </c:pt>
                <c:pt idx="99">
                  <c:v>14007.2099609375</c:v>
                </c:pt>
                <c:pt idx="100">
                  <c:v>14780.0419921875</c:v>
                </c:pt>
                <c:pt idx="101">
                  <c:v>14721.904296875</c:v>
                </c:pt>
                <c:pt idx="102">
                  <c:v>14250.2421875</c:v>
                </c:pt>
                <c:pt idx="103">
                  <c:v>14803.2109375</c:v>
                </c:pt>
                <c:pt idx="104">
                  <c:v>20320.037109375</c:v>
                </c:pt>
                <c:pt idx="105">
                  <c:v>29107.52734375</c:v>
                </c:pt>
                <c:pt idx="106">
                  <c:v>30000</c:v>
                </c:pt>
                <c:pt idx="107">
                  <c:v>24878.533203125</c:v>
                </c:pt>
                <c:pt idx="108">
                  <c:v>14449.5244140625</c:v>
                </c:pt>
                <c:pt idx="109">
                  <c:v>13616.0771484375</c:v>
                </c:pt>
                <c:pt idx="110">
                  <c:v>15206.7451171875</c:v>
                </c:pt>
                <c:pt idx="111">
                  <c:v>14364.025390625</c:v>
                </c:pt>
                <c:pt idx="112">
                  <c:v>14099.140625</c:v>
                </c:pt>
                <c:pt idx="113">
                  <c:v>12401.3916015625</c:v>
                </c:pt>
                <c:pt idx="114">
                  <c:v>9886.7099609375</c:v>
                </c:pt>
                <c:pt idx="115">
                  <c:v>9260.21484375</c:v>
                </c:pt>
                <c:pt idx="116">
                  <c:v>8266.154296875</c:v>
                </c:pt>
                <c:pt idx="117">
                  <c:v>7890.1083984375</c:v>
                </c:pt>
                <c:pt idx="118">
                  <c:v>6680.74169921875</c:v>
                </c:pt>
                <c:pt idx="119">
                  <c:v>6016.9443359375</c:v>
                </c:pt>
                <c:pt idx="120">
                  <c:v>5124.390625</c:v>
                </c:pt>
                <c:pt idx="121">
                  <c:v>4388.4326171875</c:v>
                </c:pt>
                <c:pt idx="122">
                  <c:v>4029.06103515625</c:v>
                </c:pt>
              </c:numCache>
            </c:numRef>
          </c:yVal>
          <c:smooth val="1"/>
        </c:ser>
        <c:ser>
          <c:idx val="1"/>
          <c:order val="1"/>
          <c:tx>
            <c:v>Right fiber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Data!$H$6:$H$128</c:f>
              <c:numCache>
                <c:formatCode>0.00_);[Red]\(0.00\)</c:formatCode>
                <c:ptCount val="123"/>
                <c:pt idx="0">
                  <c:v>-72.824105834960946</c:v>
                </c:pt>
                <c:pt idx="1">
                  <c:v>-69.566232299804696</c:v>
                </c:pt>
                <c:pt idx="2">
                  <c:v>-66.714669799804696</c:v>
                </c:pt>
                <c:pt idx="3">
                  <c:v>-63.874032592773446</c:v>
                </c:pt>
                <c:pt idx="4">
                  <c:v>-60.484078979492196</c:v>
                </c:pt>
                <c:pt idx="5">
                  <c:v>-57.624429321289071</c:v>
                </c:pt>
                <c:pt idx="6">
                  <c:v>-54.778741455078134</c:v>
                </c:pt>
                <c:pt idx="7">
                  <c:v>-51.524674987792977</c:v>
                </c:pt>
                <c:pt idx="8">
                  <c:v>-48.669297790527352</c:v>
                </c:pt>
                <c:pt idx="9">
                  <c:v>-45.687722778320321</c:v>
                </c:pt>
                <c:pt idx="10">
                  <c:v>-42.438722229003915</c:v>
                </c:pt>
                <c:pt idx="11">
                  <c:v>-39.581178283691415</c:v>
                </c:pt>
                <c:pt idx="12">
                  <c:v>-36.737664794921884</c:v>
                </c:pt>
                <c:pt idx="13">
                  <c:v>-33.482530212402352</c:v>
                </c:pt>
                <c:pt idx="14">
                  <c:v>-30.499383544921884</c:v>
                </c:pt>
                <c:pt idx="15">
                  <c:v>-27.647439575195321</c:v>
                </c:pt>
                <c:pt idx="16">
                  <c:v>-24.796395874023446</c:v>
                </c:pt>
                <c:pt idx="17">
                  <c:v>-21.544358825683602</c:v>
                </c:pt>
                <c:pt idx="18">
                  <c:v>-18.683572387695321</c:v>
                </c:pt>
                <c:pt idx="19">
                  <c:v>-15.838365173339852</c:v>
                </c:pt>
                <c:pt idx="20">
                  <c:v>-12.449960327148446</c:v>
                </c:pt>
                <c:pt idx="21">
                  <c:v>-9.5955062866211023</c:v>
                </c:pt>
                <c:pt idx="22">
                  <c:v>-6.747293090820321</c:v>
                </c:pt>
                <c:pt idx="23">
                  <c:v>-3.4955612182617273</c:v>
                </c:pt>
                <c:pt idx="24">
                  <c:v>-0.64267883300782103</c:v>
                </c:pt>
                <c:pt idx="25">
                  <c:v>2.206991577148429</c:v>
                </c:pt>
                <c:pt idx="26">
                  <c:v>5.5887130737304602</c:v>
                </c:pt>
                <c:pt idx="27">
                  <c:v>8.4432815551757727</c:v>
                </c:pt>
                <c:pt idx="28">
                  <c:v>11.288954162597648</c:v>
                </c:pt>
                <c:pt idx="29">
                  <c:v>14.143495941162101</c:v>
                </c:pt>
                <c:pt idx="30">
                  <c:v>17.402689361572257</c:v>
                </c:pt>
                <c:pt idx="31">
                  <c:v>20.258058929443351</c:v>
                </c:pt>
                <c:pt idx="32">
                  <c:v>23.234560394287101</c:v>
                </c:pt>
                <c:pt idx="33">
                  <c:v>26.484976196289054</c:v>
                </c:pt>
                <c:pt idx="34">
                  <c:v>29.342077636718741</c:v>
                </c:pt>
                <c:pt idx="35">
                  <c:v>32.188852691650382</c:v>
                </c:pt>
                <c:pt idx="36">
                  <c:v>35.44481887817382</c:v>
                </c:pt>
                <c:pt idx="37">
                  <c:v>38.427976989746085</c:v>
                </c:pt>
                <c:pt idx="38">
                  <c:v>41.279920959472648</c:v>
                </c:pt>
                <c:pt idx="39">
                  <c:v>44.148878479003898</c:v>
                </c:pt>
                <c:pt idx="40">
                  <c:v>47.379677200317374</c:v>
                </c:pt>
                <c:pt idx="41">
                  <c:v>50.235046768188468</c:v>
                </c:pt>
                <c:pt idx="42">
                  <c:v>53.614578628540031</c:v>
                </c:pt>
                <c:pt idx="43">
                  <c:v>56.473337554931632</c:v>
                </c:pt>
                <c:pt idx="44">
                  <c:v>59.319067382812491</c:v>
                </c:pt>
                <c:pt idx="45">
                  <c:v>62.194238090515128</c:v>
                </c:pt>
                <c:pt idx="46">
                  <c:v>65.425035858154288</c:v>
                </c:pt>
                <c:pt idx="47">
                  <c:v>68.276301288604728</c:v>
                </c:pt>
                <c:pt idx="48">
                  <c:v>71.139219188690177</c:v>
                </c:pt>
                <c:pt idx="49">
                  <c:v>74.119575703144065</c:v>
                </c:pt>
                <c:pt idx="50">
                  <c:v>77.372785472869865</c:v>
                </c:pt>
                <c:pt idx="51">
                  <c:v>80.230283641815177</c:v>
                </c:pt>
                <c:pt idx="52">
                  <c:v>83.467171096801749</c:v>
                </c:pt>
                <c:pt idx="53">
                  <c:v>86.319386863708488</c:v>
                </c:pt>
                <c:pt idx="54">
                  <c:v>89.313443565368644</c:v>
                </c:pt>
                <c:pt idx="55">
                  <c:v>92.164936447143546</c:v>
                </c:pt>
                <c:pt idx="56">
                  <c:v>95.412331008911124</c:v>
                </c:pt>
                <c:pt idx="57">
                  <c:v>98.275642776489249</c:v>
                </c:pt>
                <c:pt idx="58">
                  <c:v>101.11621131896972</c:v>
                </c:pt>
                <c:pt idx="59">
                  <c:v>104.37217941284179</c:v>
                </c:pt>
                <c:pt idx="60">
                  <c:v>107.36359252929687</c:v>
                </c:pt>
                <c:pt idx="61">
                  <c:v>110.20727767944335</c:v>
                </c:pt>
                <c:pt idx="62">
                  <c:v>113.45768966674804</c:v>
                </c:pt>
                <c:pt idx="63">
                  <c:v>116.31479492187499</c:v>
                </c:pt>
                <c:pt idx="64">
                  <c:v>119.15829696655273</c:v>
                </c:pt>
                <c:pt idx="65">
                  <c:v>122.54193725585937</c:v>
                </c:pt>
                <c:pt idx="66">
                  <c:v>125.39677658081054</c:v>
                </c:pt>
                <c:pt idx="67">
                  <c:v>128.25263442993162</c:v>
                </c:pt>
                <c:pt idx="68">
                  <c:v>131.12159576416013</c:v>
                </c:pt>
                <c:pt idx="69">
                  <c:v>134.34916534423826</c:v>
                </c:pt>
                <c:pt idx="70">
                  <c:v>137.20776596069334</c:v>
                </c:pt>
                <c:pt idx="71">
                  <c:v>140.06170501708982</c:v>
                </c:pt>
                <c:pt idx="72">
                  <c:v>143.42770233154295</c:v>
                </c:pt>
                <c:pt idx="73">
                  <c:v>146.30013885498045</c:v>
                </c:pt>
                <c:pt idx="74">
                  <c:v>149.14813079833982</c:v>
                </c:pt>
                <c:pt idx="75">
                  <c:v>151.99098815917966</c:v>
                </c:pt>
                <c:pt idx="76">
                  <c:v>155.25017395019529</c:v>
                </c:pt>
                <c:pt idx="77">
                  <c:v>158.24558868408201</c:v>
                </c:pt>
                <c:pt idx="78">
                  <c:v>161.0922912597656</c:v>
                </c:pt>
                <c:pt idx="79">
                  <c:v>164.33614196777341</c:v>
                </c:pt>
                <c:pt idx="80">
                  <c:v>167.19349517822263</c:v>
                </c:pt>
                <c:pt idx="81">
                  <c:v>170.05970611572263</c:v>
                </c:pt>
                <c:pt idx="82">
                  <c:v>173.42304840087888</c:v>
                </c:pt>
                <c:pt idx="83">
                  <c:v>176.26878204345701</c:v>
                </c:pt>
                <c:pt idx="84">
                  <c:v>179.13764801025388</c:v>
                </c:pt>
                <c:pt idx="85">
                  <c:v>182.37151947021482</c:v>
                </c:pt>
                <c:pt idx="86">
                  <c:v>185.22716369628904</c:v>
                </c:pt>
                <c:pt idx="87">
                  <c:v>188.08893432617185</c:v>
                </c:pt>
                <c:pt idx="88">
                  <c:v>190.93039550781248</c:v>
                </c:pt>
                <c:pt idx="89">
                  <c:v>194.32691802978513</c:v>
                </c:pt>
                <c:pt idx="90">
                  <c:v>197.18507232666013</c:v>
                </c:pt>
                <c:pt idx="91">
                  <c:v>200.0256637573242</c:v>
                </c:pt>
                <c:pt idx="92">
                  <c:v>203.27608337402341</c:v>
                </c:pt>
                <c:pt idx="93">
                  <c:v>206.13100280761716</c:v>
                </c:pt>
                <c:pt idx="94">
                  <c:v>209.12093200683591</c:v>
                </c:pt>
                <c:pt idx="95">
                  <c:v>212.36569824218748</c:v>
                </c:pt>
                <c:pt idx="96">
                  <c:v>215.21913757324216</c:v>
                </c:pt>
                <c:pt idx="97">
                  <c:v>218.07103576660154</c:v>
                </c:pt>
                <c:pt idx="98">
                  <c:v>221.32187499999998</c:v>
                </c:pt>
                <c:pt idx="99">
                  <c:v>224.18047180175779</c:v>
                </c:pt>
                <c:pt idx="100">
                  <c:v>227.16205444335935</c:v>
                </c:pt>
                <c:pt idx="101">
                  <c:v>230.03258361816404</c:v>
                </c:pt>
                <c:pt idx="102">
                  <c:v>233.25675048828123</c:v>
                </c:pt>
                <c:pt idx="103">
                  <c:v>236.11212768554685</c:v>
                </c:pt>
                <c:pt idx="104">
                  <c:v>239.36723937988279</c:v>
                </c:pt>
                <c:pt idx="105">
                  <c:v>242.35039367675779</c:v>
                </c:pt>
                <c:pt idx="106">
                  <c:v>245.20023193359373</c:v>
                </c:pt>
                <c:pt idx="107">
                  <c:v>248.07794799804685</c:v>
                </c:pt>
                <c:pt idx="108">
                  <c:v>251.30209960937498</c:v>
                </c:pt>
                <c:pt idx="109">
                  <c:v>254.16173400878904</c:v>
                </c:pt>
                <c:pt idx="110">
                  <c:v>257.01628723144529</c:v>
                </c:pt>
                <c:pt idx="111">
                  <c:v>259.99663391113279</c:v>
                </c:pt>
                <c:pt idx="112">
                  <c:v>263.24985351562498</c:v>
                </c:pt>
                <c:pt idx="113">
                  <c:v>266.10735168457029</c:v>
                </c:pt>
                <c:pt idx="114">
                  <c:v>269.34422912597654</c:v>
                </c:pt>
                <c:pt idx="115">
                  <c:v>272.20343627929685</c:v>
                </c:pt>
                <c:pt idx="116">
                  <c:v>275.06249084472654</c:v>
                </c:pt>
                <c:pt idx="117">
                  <c:v>278.04828491210935</c:v>
                </c:pt>
                <c:pt idx="118">
                  <c:v>281.28938903808591</c:v>
                </c:pt>
                <c:pt idx="119">
                  <c:v>284.15270080566404</c:v>
                </c:pt>
              </c:numCache>
            </c:numRef>
          </c:xVal>
          <c:yVal>
            <c:numRef>
              <c:f>Data!$G$6:$G$128</c:f>
              <c:numCache>
                <c:formatCode>0.00_ </c:formatCode>
                <c:ptCount val="123"/>
                <c:pt idx="0">
                  <c:v>3672.46630859375</c:v>
                </c:pt>
                <c:pt idx="1">
                  <c:v>3997.997314453125</c:v>
                </c:pt>
                <c:pt idx="2">
                  <c:v>4496.29931640625</c:v>
                </c:pt>
                <c:pt idx="3">
                  <c:v>4634.1181640625</c:v>
                </c:pt>
                <c:pt idx="4">
                  <c:v>5120.88232421875</c:v>
                </c:pt>
                <c:pt idx="5">
                  <c:v>5203.07763671875</c:v>
                </c:pt>
                <c:pt idx="6">
                  <c:v>6020.14794921875</c:v>
                </c:pt>
                <c:pt idx="7">
                  <c:v>6789.1435546875</c:v>
                </c:pt>
                <c:pt idx="8">
                  <c:v>7222.67138671875</c:v>
                </c:pt>
                <c:pt idx="9">
                  <c:v>7584.89453125</c:v>
                </c:pt>
                <c:pt idx="10">
                  <c:v>9068.6474609375</c:v>
                </c:pt>
                <c:pt idx="11">
                  <c:v>8936.990234375</c:v>
                </c:pt>
                <c:pt idx="12">
                  <c:v>11550.3125</c:v>
                </c:pt>
                <c:pt idx="13">
                  <c:v>13536.9267578125</c:v>
                </c:pt>
                <c:pt idx="14">
                  <c:v>14128.361328125</c:v>
                </c:pt>
                <c:pt idx="15">
                  <c:v>14362.423828125</c:v>
                </c:pt>
                <c:pt idx="16">
                  <c:v>14637.5068359375</c:v>
                </c:pt>
                <c:pt idx="17">
                  <c:v>14388.009765625</c:v>
                </c:pt>
                <c:pt idx="18">
                  <c:v>13485.5400390625</c:v>
                </c:pt>
                <c:pt idx="19">
                  <c:v>18391.921875</c:v>
                </c:pt>
                <c:pt idx="20">
                  <c:v>27698.73046875</c:v>
                </c:pt>
                <c:pt idx="21">
                  <c:v>30000</c:v>
                </c:pt>
                <c:pt idx="22">
                  <c:v>27181.48046875</c:v>
                </c:pt>
                <c:pt idx="23">
                  <c:v>17606.69140625</c:v>
                </c:pt>
                <c:pt idx="24">
                  <c:v>14392.6162109375</c:v>
                </c:pt>
                <c:pt idx="25">
                  <c:v>15544.783203125</c:v>
                </c:pt>
                <c:pt idx="26">
                  <c:v>15558.7080078125</c:v>
                </c:pt>
                <c:pt idx="27">
                  <c:v>14307.7392578125</c:v>
                </c:pt>
                <c:pt idx="28">
                  <c:v>13343.3759765625</c:v>
                </c:pt>
                <c:pt idx="29">
                  <c:v>10517.1865234375</c:v>
                </c:pt>
                <c:pt idx="30">
                  <c:v>9694.4169921875</c:v>
                </c:pt>
                <c:pt idx="31">
                  <c:v>9366.8681640625</c:v>
                </c:pt>
                <c:pt idx="32">
                  <c:v>8168.07177734375</c:v>
                </c:pt>
                <c:pt idx="33">
                  <c:v>7421.7373046875</c:v>
                </c:pt>
                <c:pt idx="34">
                  <c:v>6800.28076171875</c:v>
                </c:pt>
                <c:pt idx="35">
                  <c:v>5729.72265625</c:v>
                </c:pt>
                <c:pt idx="36">
                  <c:v>5163.9365234375</c:v>
                </c:pt>
                <c:pt idx="37">
                  <c:v>4388.6875</c:v>
                </c:pt>
                <c:pt idx="38">
                  <c:v>4235.3876953125</c:v>
                </c:pt>
                <c:pt idx="39">
                  <c:v>3810.808837890625</c:v>
                </c:pt>
                <c:pt idx="40">
                  <c:v>3414.450439453125</c:v>
                </c:pt>
                <c:pt idx="41">
                  <c:v>3594.984375</c:v>
                </c:pt>
                <c:pt idx="42">
                  <c:v>3045.587890625</c:v>
                </c:pt>
                <c:pt idx="43">
                  <c:v>2263.51513671875</c:v>
                </c:pt>
                <c:pt idx="44">
                  <c:v>1524.249755859375</c:v>
                </c:pt>
                <c:pt idx="45">
                  <c:v>1057.6954345703125</c:v>
                </c:pt>
                <c:pt idx="46">
                  <c:v>1195.344970703125</c:v>
                </c:pt>
                <c:pt idx="47">
                  <c:v>637.84588623046875</c:v>
                </c:pt>
                <c:pt idx="48">
                  <c:v>799.895263671875</c:v>
                </c:pt>
                <c:pt idx="49">
                  <c:v>235.69552612304687</c:v>
                </c:pt>
                <c:pt idx="50">
                  <c:v>361.19134521484375</c:v>
                </c:pt>
                <c:pt idx="51">
                  <c:v>798.61676025390625</c:v>
                </c:pt>
                <c:pt idx="52">
                  <c:v>1035.267333984375</c:v>
                </c:pt>
                <c:pt idx="53">
                  <c:v>1064.7196044921875</c:v>
                </c:pt>
                <c:pt idx="54">
                  <c:v>363.28628540039062</c:v>
                </c:pt>
                <c:pt idx="55">
                  <c:v>473.03927612304687</c:v>
                </c:pt>
                <c:pt idx="56">
                  <c:v>2009.2115478515625</c:v>
                </c:pt>
                <c:pt idx="57">
                  <c:v>1860.1015625</c:v>
                </c:pt>
                <c:pt idx="58">
                  <c:v>2188.1435546875</c:v>
                </c:pt>
                <c:pt idx="59">
                  <c:v>2837.48095703125</c:v>
                </c:pt>
                <c:pt idx="60">
                  <c:v>2981.538330078125</c:v>
                </c:pt>
                <c:pt idx="61">
                  <c:v>3000.685302734375</c:v>
                </c:pt>
                <c:pt idx="62">
                  <c:v>4206.3359375</c:v>
                </c:pt>
                <c:pt idx="63">
                  <c:v>4826.8056640625</c:v>
                </c:pt>
                <c:pt idx="64">
                  <c:v>4471.283203125</c:v>
                </c:pt>
                <c:pt idx="65">
                  <c:v>5239.26171875</c:v>
                </c:pt>
                <c:pt idx="66">
                  <c:v>5736.17724609375</c:v>
                </c:pt>
                <c:pt idx="67">
                  <c:v>6706.30078125</c:v>
                </c:pt>
                <c:pt idx="68">
                  <c:v>7453.037109375</c:v>
                </c:pt>
                <c:pt idx="69">
                  <c:v>8043.439453125</c:v>
                </c:pt>
                <c:pt idx="70">
                  <c:v>9211.0107421875</c:v>
                </c:pt>
                <c:pt idx="71">
                  <c:v>9639.2392578125</c:v>
                </c:pt>
                <c:pt idx="72">
                  <c:v>10624.3515625</c:v>
                </c:pt>
                <c:pt idx="73">
                  <c:v>12954.9970703125</c:v>
                </c:pt>
                <c:pt idx="74">
                  <c:v>14060.21484375</c:v>
                </c:pt>
                <c:pt idx="75">
                  <c:v>14205.828125</c:v>
                </c:pt>
                <c:pt idx="76">
                  <c:v>14551.2138671875</c:v>
                </c:pt>
                <c:pt idx="77">
                  <c:v>14673.5830078125</c:v>
                </c:pt>
                <c:pt idx="78">
                  <c:v>14017.8994140625</c:v>
                </c:pt>
                <c:pt idx="79">
                  <c:v>16140.853515625</c:v>
                </c:pt>
                <c:pt idx="80">
                  <c:v>25735.900390625</c:v>
                </c:pt>
                <c:pt idx="81">
                  <c:v>29691.259765625</c:v>
                </c:pt>
                <c:pt idx="82">
                  <c:v>27042.72265625</c:v>
                </c:pt>
                <c:pt idx="83">
                  <c:v>19359.736328125</c:v>
                </c:pt>
                <c:pt idx="84">
                  <c:v>14897.001953125</c:v>
                </c:pt>
                <c:pt idx="85">
                  <c:v>15789.7216796875</c:v>
                </c:pt>
                <c:pt idx="86">
                  <c:v>15704.7373046875</c:v>
                </c:pt>
                <c:pt idx="87">
                  <c:v>15002.2412109375</c:v>
                </c:pt>
                <c:pt idx="88">
                  <c:v>13811.36328125</c:v>
                </c:pt>
                <c:pt idx="89">
                  <c:v>11804.2158203125</c:v>
                </c:pt>
                <c:pt idx="90">
                  <c:v>10193.9970703125</c:v>
                </c:pt>
                <c:pt idx="91">
                  <c:v>9626.30078125</c:v>
                </c:pt>
                <c:pt idx="92">
                  <c:v>8453.7529296875</c:v>
                </c:pt>
                <c:pt idx="93">
                  <c:v>7809.42236328125</c:v>
                </c:pt>
                <c:pt idx="94">
                  <c:v>6812.55712890625</c:v>
                </c:pt>
                <c:pt idx="95">
                  <c:v>5979.60498046875</c:v>
                </c:pt>
                <c:pt idx="96">
                  <c:v>5648.5595703125</c:v>
                </c:pt>
                <c:pt idx="97">
                  <c:v>4819.705078125</c:v>
                </c:pt>
                <c:pt idx="98">
                  <c:v>3908.901123046875</c:v>
                </c:pt>
                <c:pt idx="99">
                  <c:v>3822.31591796875</c:v>
                </c:pt>
                <c:pt idx="100">
                  <c:v>3019.6171875</c:v>
                </c:pt>
                <c:pt idx="101">
                  <c:v>3368.77783203125</c:v>
                </c:pt>
                <c:pt idx="102">
                  <c:v>2668.623046875</c:v>
                </c:pt>
                <c:pt idx="103">
                  <c:v>2739.927978515625</c:v>
                </c:pt>
                <c:pt idx="104">
                  <c:v>2068.639892578125</c:v>
                </c:pt>
                <c:pt idx="105">
                  <c:v>1107.06494140625</c:v>
                </c:pt>
                <c:pt idx="106">
                  <c:v>671.98101806640625</c:v>
                </c:pt>
                <c:pt idx="107">
                  <c:v>667.2982177734375</c:v>
                </c:pt>
                <c:pt idx="108">
                  <c:v>0</c:v>
                </c:pt>
                <c:pt idx="109">
                  <c:v>82.5650634765625</c:v>
                </c:pt>
                <c:pt idx="110">
                  <c:v>854.31732177734375</c:v>
                </c:pt>
                <c:pt idx="111">
                  <c:v>1022.405029296875</c:v>
                </c:pt>
                <c:pt idx="112">
                  <c:v>1304.974609375</c:v>
                </c:pt>
                <c:pt idx="113">
                  <c:v>1488.7127685546875</c:v>
                </c:pt>
                <c:pt idx="114">
                  <c:v>1284.19482421875</c:v>
                </c:pt>
                <c:pt idx="115">
                  <c:v>1338.3704833984375</c:v>
                </c:pt>
                <c:pt idx="116">
                  <c:v>1994.82421875</c:v>
                </c:pt>
                <c:pt idx="117">
                  <c:v>2035.7833251953125</c:v>
                </c:pt>
                <c:pt idx="118">
                  <c:v>1996.3492431640625</c:v>
                </c:pt>
                <c:pt idx="119">
                  <c:v>3479.85546875</c:v>
                </c:pt>
                <c:pt idx="120">
                  <c:v>3170.205810546875</c:v>
                </c:pt>
                <c:pt idx="121">
                  <c:v>4139.39013671875</c:v>
                </c:pt>
                <c:pt idx="122">
                  <c:v>4333.06396484375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58656"/>
        <c:axId val="63359808"/>
      </c:scatterChart>
      <c:valAx>
        <c:axId val="633586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Angle (deg)</a:t>
                </a:r>
              </a:p>
            </c:rich>
          </c:tx>
          <c:layout>
            <c:manualLayout>
              <c:xMode val="edge"/>
              <c:yMode val="edge"/>
              <c:x val="0.45051947294466976"/>
              <c:y val="0.900306672192291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63359808"/>
        <c:crosses val="autoZero"/>
        <c:crossBetween val="midCat"/>
      </c:valAx>
      <c:valAx>
        <c:axId val="63359808"/>
        <c:scaling>
          <c:orientation val="minMax"/>
          <c:max val="3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IPA Profile</a:t>
                </a:r>
              </a:p>
            </c:rich>
          </c:tx>
          <c:layout>
            <c:manualLayout>
              <c:xMode val="edge"/>
              <c:yMode val="edge"/>
              <c:x val="3.4344494816935765E-2"/>
              <c:y val="0.409985676998131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63358656"/>
        <c:crosses val="autoZero"/>
        <c:crossBetween val="midCat"/>
        <c:majorUnit val="5000"/>
        <c:minorUnit val="60"/>
      </c:valAx>
    </c:plotArea>
    <c:legend>
      <c:legendPos val="t"/>
      <c:layout>
        <c:manualLayout>
          <c:xMode val="edge"/>
          <c:yMode val="edge"/>
          <c:x val="0.29091842307590343"/>
          <c:y val="0.11080710479057154"/>
          <c:w val="0.37172904902038761"/>
          <c:h val="6.648432103881751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IPA of estimation</a:t>
            </a:r>
          </a:p>
        </c:rich>
      </c:tx>
      <c:layout>
        <c:manualLayout>
          <c:xMode val="edge"/>
          <c:yMode val="edge"/>
          <c:x val="1.0870021682072349E-2"/>
          <c:y val="2.46583971524107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437379667294584E-2"/>
          <c:y val="0.14247022436056977"/>
          <c:w val="0.86524532723197956"/>
          <c:h val="0.71783074581671702"/>
        </c:manualLayout>
      </c:layout>
      <c:scatterChart>
        <c:scatterStyle val="lineMarker"/>
        <c:varyColors val="0"/>
        <c:ser>
          <c:idx val="0"/>
          <c:order val="0"/>
          <c:tx>
            <c:v>Left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Data!$R$6:$R$128</c:f>
              <c:numCache>
                <c:formatCode>0.00_ </c:formatCode>
                <c:ptCount val="123"/>
                <c:pt idx="0">
                  <c:v>-109.6077880859375</c:v>
                </c:pt>
                <c:pt idx="1">
                  <c:v>-106.73244476318359</c:v>
                </c:pt>
                <c:pt idx="2">
                  <c:v>-103.87967681884766</c:v>
                </c:pt>
                <c:pt idx="3">
                  <c:v>-100.63967132568359</c:v>
                </c:pt>
                <c:pt idx="4">
                  <c:v>-97.77996826171875</c:v>
                </c:pt>
                <c:pt idx="5">
                  <c:v>-94.770599365234375</c:v>
                </c:pt>
                <c:pt idx="6">
                  <c:v>-91.548225402832031</c:v>
                </c:pt>
                <c:pt idx="7">
                  <c:v>-88.693855285644531</c:v>
                </c:pt>
                <c:pt idx="8">
                  <c:v>-85.828804016113281</c:v>
                </c:pt>
                <c:pt idx="9">
                  <c:v>-82.979774475097656</c:v>
                </c:pt>
                <c:pt idx="10">
                  <c:v>-79.587562561035156</c:v>
                </c:pt>
                <c:pt idx="11">
                  <c:v>-76.726974487304688</c:v>
                </c:pt>
                <c:pt idx="12">
                  <c:v>-73.878952026367188</c:v>
                </c:pt>
                <c:pt idx="13">
                  <c:v>-70.622077941894531</c:v>
                </c:pt>
                <c:pt idx="14">
                  <c:v>-67.768104553222656</c:v>
                </c:pt>
                <c:pt idx="15">
                  <c:v>-64.92352294921875</c:v>
                </c:pt>
                <c:pt idx="16">
                  <c:v>-61.538715362548828</c:v>
                </c:pt>
                <c:pt idx="17">
                  <c:v>-58.683246612548828</c:v>
                </c:pt>
                <c:pt idx="18">
                  <c:v>-55.810443878173828</c:v>
                </c:pt>
                <c:pt idx="19">
                  <c:v>-52.57769775390625</c:v>
                </c:pt>
                <c:pt idx="20">
                  <c:v>-49.716331481933594</c:v>
                </c:pt>
                <c:pt idx="21">
                  <c:v>-46.874015808105469</c:v>
                </c:pt>
                <c:pt idx="22">
                  <c:v>-43.864967346191406</c:v>
                </c:pt>
                <c:pt idx="23">
                  <c:v>-40.635063171386719</c:v>
                </c:pt>
                <c:pt idx="24">
                  <c:v>-37.758438110351563</c:v>
                </c:pt>
                <c:pt idx="25">
                  <c:v>-34.521457672119141</c:v>
                </c:pt>
                <c:pt idx="26">
                  <c:v>-31.667316436767578</c:v>
                </c:pt>
                <c:pt idx="27">
                  <c:v>-28.670095443725586</c:v>
                </c:pt>
                <c:pt idx="28">
                  <c:v>-25.808725357055664</c:v>
                </c:pt>
                <c:pt idx="29">
                  <c:v>-22.579305648803711</c:v>
                </c:pt>
                <c:pt idx="30">
                  <c:v>-19.716800689697266</c:v>
                </c:pt>
                <c:pt idx="31">
                  <c:v>-16.848855972290039</c:v>
                </c:pt>
                <c:pt idx="32">
                  <c:v>-14.010852813720703</c:v>
                </c:pt>
                <c:pt idx="33">
                  <c:v>-10.613855361938477</c:v>
                </c:pt>
                <c:pt idx="34">
                  <c:v>-7.7684593200683594</c:v>
                </c:pt>
                <c:pt idx="35">
                  <c:v>-4.5263934135437012</c:v>
                </c:pt>
                <c:pt idx="36">
                  <c:v>-1.6687005758285522</c:v>
                </c:pt>
                <c:pt idx="37">
                  <c:v>1.1963492631912231</c:v>
                </c:pt>
                <c:pt idx="38">
                  <c:v>4.0397491455078125</c:v>
                </c:pt>
                <c:pt idx="39">
                  <c:v>7.4302005767822266</c:v>
                </c:pt>
                <c:pt idx="40">
                  <c:v>10.282918930053711</c:v>
                </c:pt>
                <c:pt idx="41">
                  <c:v>13.140551567077637</c:v>
                </c:pt>
                <c:pt idx="42">
                  <c:v>16.395030975341797</c:v>
                </c:pt>
                <c:pt idx="43">
                  <c:v>19.248311996459961</c:v>
                </c:pt>
                <c:pt idx="44">
                  <c:v>22.113960266113281</c:v>
                </c:pt>
                <c:pt idx="45">
                  <c:v>25.478982925415039</c:v>
                </c:pt>
                <c:pt idx="46">
                  <c:v>28.341911315917969</c:v>
                </c:pt>
                <c:pt idx="47">
                  <c:v>31.186302185058594</c:v>
                </c:pt>
                <c:pt idx="48">
                  <c:v>34.447460174560547</c:v>
                </c:pt>
                <c:pt idx="49">
                  <c:v>37.305149078369141</c:v>
                </c:pt>
                <c:pt idx="50">
                  <c:v>40.287929534912109</c:v>
                </c:pt>
                <c:pt idx="51">
                  <c:v>43.153537750244141</c:v>
                </c:pt>
                <c:pt idx="52">
                  <c:v>46.386280059814453</c:v>
                </c:pt>
                <c:pt idx="53">
                  <c:v>49.243377685546875</c:v>
                </c:pt>
                <c:pt idx="54">
                  <c:v>52.109027862548828</c:v>
                </c:pt>
                <c:pt idx="55">
                  <c:v>55.477718353271484</c:v>
                </c:pt>
                <c:pt idx="56">
                  <c:v>58.336978912353516</c:v>
                </c:pt>
                <c:pt idx="57">
                  <c:v>61.20977783203125</c:v>
                </c:pt>
                <c:pt idx="58">
                  <c:v>64.439300537109375</c:v>
                </c:pt>
                <c:pt idx="59">
                  <c:v>67.30389404296875</c:v>
                </c:pt>
                <c:pt idx="60">
                  <c:v>70.150634765625</c:v>
                </c:pt>
                <c:pt idx="61">
                  <c:v>73.0086669921875</c:v>
                </c:pt>
                <c:pt idx="62">
                  <c:v>76.401908874511719</c:v>
                </c:pt>
                <c:pt idx="63">
                  <c:v>79.26177978515625</c:v>
                </c:pt>
                <c:pt idx="64">
                  <c:v>82.109466552734375</c:v>
                </c:pt>
                <c:pt idx="65">
                  <c:v>85.349472045898437</c:v>
                </c:pt>
                <c:pt idx="66">
                  <c:v>88.217231750488281</c:v>
                </c:pt>
                <c:pt idx="67">
                  <c:v>91.211502075195313</c:v>
                </c:pt>
                <c:pt idx="68">
                  <c:v>94.455360412597656</c:v>
                </c:pt>
                <c:pt idx="69">
                  <c:v>97.310836791992188</c:v>
                </c:pt>
                <c:pt idx="70">
                  <c:v>100.16570281982422</c:v>
                </c:pt>
                <c:pt idx="71">
                  <c:v>103.4163818359375</c:v>
                </c:pt>
                <c:pt idx="72">
                  <c:v>106.27346801757813</c:v>
                </c:pt>
                <c:pt idx="73">
                  <c:v>109.25176239013672</c:v>
                </c:pt>
                <c:pt idx="74">
                  <c:v>112.12245178222656</c:v>
                </c:pt>
                <c:pt idx="75">
                  <c:v>115.35520172119141</c:v>
                </c:pt>
                <c:pt idx="76">
                  <c:v>118.21229553222656</c:v>
                </c:pt>
                <c:pt idx="77">
                  <c:v>121.46939086914062</c:v>
                </c:pt>
                <c:pt idx="78">
                  <c:v>124.454345703125</c:v>
                </c:pt>
                <c:pt idx="79">
                  <c:v>127.30589294433594</c:v>
                </c:pt>
                <c:pt idx="80">
                  <c:v>130.18534851074219</c:v>
                </c:pt>
                <c:pt idx="81">
                  <c:v>133.408203125</c:v>
                </c:pt>
                <c:pt idx="82">
                  <c:v>136.26853942871094</c:v>
                </c:pt>
                <c:pt idx="83">
                  <c:v>139.13418579101562</c:v>
                </c:pt>
                <c:pt idx="84">
                  <c:v>142.50665283203125</c:v>
                </c:pt>
                <c:pt idx="85">
                  <c:v>145.36639404296875</c:v>
                </c:pt>
                <c:pt idx="86">
                  <c:v>148.21609497070312</c:v>
                </c:pt>
                <c:pt idx="87">
                  <c:v>151.47100830078125</c:v>
                </c:pt>
                <c:pt idx="88">
                  <c:v>154.32905578613281</c:v>
                </c:pt>
                <c:pt idx="89">
                  <c:v>157.17579650878906</c:v>
                </c:pt>
                <c:pt idx="90">
                  <c:v>160.18746948242187</c:v>
                </c:pt>
                <c:pt idx="91">
                  <c:v>163.40650939941406</c:v>
                </c:pt>
                <c:pt idx="92">
                  <c:v>166.26788330078125</c:v>
                </c:pt>
                <c:pt idx="93">
                  <c:v>169.13462829589844</c:v>
                </c:pt>
                <c:pt idx="94">
                  <c:v>172.3746337890625</c:v>
                </c:pt>
                <c:pt idx="95">
                  <c:v>175.35720825195312</c:v>
                </c:pt>
                <c:pt idx="96">
                  <c:v>178.22576904296875</c:v>
                </c:pt>
                <c:pt idx="97">
                  <c:v>181.46275329589844</c:v>
                </c:pt>
                <c:pt idx="98">
                  <c:v>184.33599853515625</c:v>
                </c:pt>
                <c:pt idx="99">
                  <c:v>187.19085693359375</c:v>
                </c:pt>
                <c:pt idx="100">
                  <c:v>190.56278991699219</c:v>
                </c:pt>
                <c:pt idx="101">
                  <c:v>193.42327880859375</c:v>
                </c:pt>
                <c:pt idx="102">
                  <c:v>196.27693176269531</c:v>
                </c:pt>
                <c:pt idx="103">
                  <c:v>199.14759826660156</c:v>
                </c:pt>
                <c:pt idx="104">
                  <c:v>202.38035583496094</c:v>
                </c:pt>
                <c:pt idx="105">
                  <c:v>205.23745727539062</c:v>
                </c:pt>
                <c:pt idx="106">
                  <c:v>208.08404541015625</c:v>
                </c:pt>
                <c:pt idx="107">
                  <c:v>211.47178649902344</c:v>
                </c:pt>
                <c:pt idx="108">
                  <c:v>214.3310546875</c:v>
                </c:pt>
                <c:pt idx="109">
                  <c:v>217.18055725097656</c:v>
                </c:pt>
                <c:pt idx="110">
                  <c:v>220.43023681640625</c:v>
                </c:pt>
                <c:pt idx="111">
                  <c:v>223.29074096679687</c:v>
                </c:pt>
                <c:pt idx="112">
                  <c:v>226.27706909179687</c:v>
                </c:pt>
                <c:pt idx="113">
                  <c:v>229.14268493652344</c:v>
                </c:pt>
                <c:pt idx="114">
                  <c:v>232.37542724609375</c:v>
                </c:pt>
                <c:pt idx="115">
                  <c:v>235.25077819824219</c:v>
                </c:pt>
                <c:pt idx="116">
                  <c:v>238.09817504882813</c:v>
                </c:pt>
                <c:pt idx="117">
                  <c:v>241.34024047851563</c:v>
                </c:pt>
                <c:pt idx="118">
                  <c:v>244.34420776367187</c:v>
                </c:pt>
                <c:pt idx="119">
                  <c:v>247.20558166503906</c:v>
                </c:pt>
                <c:pt idx="120">
                  <c:v>250.44198608398437</c:v>
                </c:pt>
                <c:pt idx="121">
                  <c:v>253.28877258300781</c:v>
                </c:pt>
                <c:pt idx="122">
                  <c:v>256.15438842773437</c:v>
                </c:pt>
              </c:numCache>
            </c:numRef>
          </c:xVal>
          <c:yVal>
            <c:numRef>
              <c:f>Data!$S$6:$S$128</c:f>
              <c:numCache>
                <c:formatCode>0.00_ </c:formatCode>
                <c:ptCount val="123"/>
                <c:pt idx="0">
                  <c:v>660.556640625</c:v>
                </c:pt>
                <c:pt idx="1">
                  <c:v>233.45298767089844</c:v>
                </c:pt>
                <c:pt idx="2">
                  <c:v>386.57476806640625</c:v>
                </c:pt>
                <c:pt idx="3">
                  <c:v>0</c:v>
                </c:pt>
                <c:pt idx="4">
                  <c:v>774.27978515625</c:v>
                </c:pt>
                <c:pt idx="5">
                  <c:v>745.63507080078125</c:v>
                </c:pt>
                <c:pt idx="6">
                  <c:v>1149.8746337890625</c:v>
                </c:pt>
                <c:pt idx="7">
                  <c:v>1371.4595947265625</c:v>
                </c:pt>
                <c:pt idx="8">
                  <c:v>1311.7802734375</c:v>
                </c:pt>
                <c:pt idx="9">
                  <c:v>1885.401611328125</c:v>
                </c:pt>
                <c:pt idx="10">
                  <c:v>2275.59326171875</c:v>
                </c:pt>
                <c:pt idx="11">
                  <c:v>3044.44775390625</c:v>
                </c:pt>
                <c:pt idx="12">
                  <c:v>3012.2021484375</c:v>
                </c:pt>
                <c:pt idx="13">
                  <c:v>3524.90087890625</c:v>
                </c:pt>
                <c:pt idx="14">
                  <c:v>3688.90625</c:v>
                </c:pt>
                <c:pt idx="15">
                  <c:v>4775.96875</c:v>
                </c:pt>
                <c:pt idx="16">
                  <c:v>5909.53515625</c:v>
                </c:pt>
                <c:pt idx="17">
                  <c:v>5977.25537109375</c:v>
                </c:pt>
                <c:pt idx="18">
                  <c:v>6020.400390625</c:v>
                </c:pt>
                <c:pt idx="19">
                  <c:v>7020.60791015625</c:v>
                </c:pt>
                <c:pt idx="20">
                  <c:v>7915.1181640625</c:v>
                </c:pt>
                <c:pt idx="21">
                  <c:v>8418.806640625</c:v>
                </c:pt>
                <c:pt idx="22">
                  <c:v>8741.9248046875</c:v>
                </c:pt>
                <c:pt idx="23">
                  <c:v>9427.5078125</c:v>
                </c:pt>
                <c:pt idx="24">
                  <c:v>10785.79296875</c:v>
                </c:pt>
                <c:pt idx="25">
                  <c:v>13277.9814453125</c:v>
                </c:pt>
                <c:pt idx="26">
                  <c:v>13946.3369140625</c:v>
                </c:pt>
                <c:pt idx="27">
                  <c:v>15369.724609375</c:v>
                </c:pt>
                <c:pt idx="28">
                  <c:v>15604.1318359375</c:v>
                </c:pt>
                <c:pt idx="29">
                  <c:v>14588.986328125</c:v>
                </c:pt>
                <c:pt idx="30">
                  <c:v>13653.318359375</c:v>
                </c:pt>
                <c:pt idx="31">
                  <c:v>16470.044921875</c:v>
                </c:pt>
                <c:pt idx="32">
                  <c:v>23955.556640625</c:v>
                </c:pt>
                <c:pt idx="33">
                  <c:v>30000</c:v>
                </c:pt>
                <c:pt idx="34">
                  <c:v>29570.3125</c:v>
                </c:pt>
                <c:pt idx="35">
                  <c:v>19513.81640625</c:v>
                </c:pt>
                <c:pt idx="36">
                  <c:v>12151.181640625</c:v>
                </c:pt>
                <c:pt idx="37">
                  <c:v>15175.9140625</c:v>
                </c:pt>
                <c:pt idx="38">
                  <c:v>15779.810546875</c:v>
                </c:pt>
                <c:pt idx="39">
                  <c:v>14801.4326171875</c:v>
                </c:pt>
                <c:pt idx="40">
                  <c:v>13908.052734375</c:v>
                </c:pt>
                <c:pt idx="41">
                  <c:v>11349.2578125</c:v>
                </c:pt>
                <c:pt idx="42">
                  <c:v>9843.0673828125</c:v>
                </c:pt>
                <c:pt idx="43">
                  <c:v>9112.4814453125</c:v>
                </c:pt>
                <c:pt idx="44">
                  <c:v>9091.990234375</c:v>
                </c:pt>
                <c:pt idx="45">
                  <c:v>8112.2734375</c:v>
                </c:pt>
                <c:pt idx="46">
                  <c:v>7427.30224609375</c:v>
                </c:pt>
                <c:pt idx="47">
                  <c:v>6774.36669921875</c:v>
                </c:pt>
                <c:pt idx="48">
                  <c:v>6349.7666015625</c:v>
                </c:pt>
                <c:pt idx="49">
                  <c:v>5441.56298828125</c:v>
                </c:pt>
                <c:pt idx="50">
                  <c:v>5401.00244140625</c:v>
                </c:pt>
                <c:pt idx="51">
                  <c:v>5004.65869140625</c:v>
                </c:pt>
                <c:pt idx="52">
                  <c:v>3726.593017578125</c:v>
                </c:pt>
                <c:pt idx="53">
                  <c:v>3319.07568359375</c:v>
                </c:pt>
                <c:pt idx="54">
                  <c:v>3329.19970703125</c:v>
                </c:pt>
                <c:pt idx="55">
                  <c:v>3314.683349609375</c:v>
                </c:pt>
                <c:pt idx="56">
                  <c:v>2389.57470703125</c:v>
                </c:pt>
                <c:pt idx="57">
                  <c:v>2445.120361328125</c:v>
                </c:pt>
                <c:pt idx="58">
                  <c:v>848.58819580078125</c:v>
                </c:pt>
                <c:pt idx="59">
                  <c:v>634.85064697265625</c:v>
                </c:pt>
                <c:pt idx="60">
                  <c:v>1008.0396118164062</c:v>
                </c:pt>
                <c:pt idx="61">
                  <c:v>547.78619384765625</c:v>
                </c:pt>
                <c:pt idx="62">
                  <c:v>453.66543579101563</c:v>
                </c:pt>
                <c:pt idx="63">
                  <c:v>922.47674560546875</c:v>
                </c:pt>
                <c:pt idx="64">
                  <c:v>1090.5345458984375</c:v>
                </c:pt>
                <c:pt idx="65">
                  <c:v>464.9844970703125</c:v>
                </c:pt>
                <c:pt idx="66">
                  <c:v>675.7509765625</c:v>
                </c:pt>
                <c:pt idx="67">
                  <c:v>776.42742919921875</c:v>
                </c:pt>
                <c:pt idx="68">
                  <c:v>1397.7144775390625</c:v>
                </c:pt>
                <c:pt idx="69">
                  <c:v>1862.925048828125</c:v>
                </c:pt>
                <c:pt idx="70">
                  <c:v>2193.921875</c:v>
                </c:pt>
                <c:pt idx="71">
                  <c:v>2553.934814453125</c:v>
                </c:pt>
                <c:pt idx="72">
                  <c:v>2979.133056640625</c:v>
                </c:pt>
                <c:pt idx="73">
                  <c:v>3372.7802734375</c:v>
                </c:pt>
                <c:pt idx="74">
                  <c:v>3525.546875</c:v>
                </c:pt>
                <c:pt idx="75">
                  <c:v>3977.226318359375</c:v>
                </c:pt>
                <c:pt idx="76">
                  <c:v>4701.38623046875</c:v>
                </c:pt>
                <c:pt idx="77">
                  <c:v>5640.849609375</c:v>
                </c:pt>
                <c:pt idx="78">
                  <c:v>5818.724609375</c:v>
                </c:pt>
                <c:pt idx="79">
                  <c:v>6772.203125</c:v>
                </c:pt>
                <c:pt idx="80">
                  <c:v>7316.0009765625</c:v>
                </c:pt>
                <c:pt idx="81">
                  <c:v>8130.22802734375</c:v>
                </c:pt>
                <c:pt idx="82">
                  <c:v>9144.4853515625</c:v>
                </c:pt>
                <c:pt idx="83">
                  <c:v>9306.939453125</c:v>
                </c:pt>
                <c:pt idx="84">
                  <c:v>10521.9189453125</c:v>
                </c:pt>
                <c:pt idx="85">
                  <c:v>11812.2236328125</c:v>
                </c:pt>
                <c:pt idx="86">
                  <c:v>13664.814453125</c:v>
                </c:pt>
                <c:pt idx="87">
                  <c:v>14590.23046875</c:v>
                </c:pt>
                <c:pt idx="88">
                  <c:v>15136.9501953125</c:v>
                </c:pt>
                <c:pt idx="89">
                  <c:v>15348.0556640625</c:v>
                </c:pt>
                <c:pt idx="90">
                  <c:v>14373.5556640625</c:v>
                </c:pt>
                <c:pt idx="91">
                  <c:v>16012.5849609375</c:v>
                </c:pt>
                <c:pt idx="92">
                  <c:v>22763.5703125</c:v>
                </c:pt>
                <c:pt idx="93">
                  <c:v>29776.736328125</c:v>
                </c:pt>
                <c:pt idx="94">
                  <c:v>28943.134765625</c:v>
                </c:pt>
                <c:pt idx="95">
                  <c:v>20572.021484375</c:v>
                </c:pt>
                <c:pt idx="96">
                  <c:v>14686.0302734375</c:v>
                </c:pt>
                <c:pt idx="97">
                  <c:v>15209.240234375</c:v>
                </c:pt>
                <c:pt idx="98">
                  <c:v>16139.3876953125</c:v>
                </c:pt>
                <c:pt idx="99">
                  <c:v>15028.830078125</c:v>
                </c:pt>
                <c:pt idx="100">
                  <c:v>13359.0556640625</c:v>
                </c:pt>
                <c:pt idx="101">
                  <c:v>12208.486328125</c:v>
                </c:pt>
                <c:pt idx="102">
                  <c:v>9936.494140625</c:v>
                </c:pt>
                <c:pt idx="103">
                  <c:v>9407.744140625</c:v>
                </c:pt>
                <c:pt idx="104">
                  <c:v>8387.078125</c:v>
                </c:pt>
                <c:pt idx="105">
                  <c:v>7500.1572265625</c:v>
                </c:pt>
                <c:pt idx="106">
                  <c:v>6877.869140625</c:v>
                </c:pt>
                <c:pt idx="107">
                  <c:v>6165.46435546875</c:v>
                </c:pt>
                <c:pt idx="108">
                  <c:v>5634.81005859375</c:v>
                </c:pt>
                <c:pt idx="109">
                  <c:v>5577.4560546875</c:v>
                </c:pt>
                <c:pt idx="110">
                  <c:v>4871.0908203125</c:v>
                </c:pt>
                <c:pt idx="111">
                  <c:v>3990.143798828125</c:v>
                </c:pt>
                <c:pt idx="112">
                  <c:v>3724.009521484375</c:v>
                </c:pt>
                <c:pt idx="113">
                  <c:v>3125.95751953125</c:v>
                </c:pt>
                <c:pt idx="114">
                  <c:v>3216.60693359375</c:v>
                </c:pt>
                <c:pt idx="115">
                  <c:v>2336.273681640625</c:v>
                </c:pt>
                <c:pt idx="116">
                  <c:v>1316.8182373046875</c:v>
                </c:pt>
                <c:pt idx="117">
                  <c:v>1260.836669921875</c:v>
                </c:pt>
                <c:pt idx="118">
                  <c:v>1220.3563232421875</c:v>
                </c:pt>
                <c:pt idx="119">
                  <c:v>1409.178955078125</c:v>
                </c:pt>
                <c:pt idx="120">
                  <c:v>868.09375</c:v>
                </c:pt>
                <c:pt idx="121">
                  <c:v>392.98513793945312</c:v>
                </c:pt>
                <c:pt idx="122">
                  <c:v>846.35992431640625</c:v>
                </c:pt>
              </c:numCache>
            </c:numRef>
          </c:yVal>
          <c:smooth val="0"/>
        </c:ser>
        <c:ser>
          <c:idx val="1"/>
          <c:order val="1"/>
          <c:tx>
            <c:v>Right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Data!$R$6:$R$128</c:f>
              <c:numCache>
                <c:formatCode>0.00_ </c:formatCode>
                <c:ptCount val="123"/>
                <c:pt idx="0">
                  <c:v>-109.6077880859375</c:v>
                </c:pt>
                <c:pt idx="1">
                  <c:v>-106.73244476318359</c:v>
                </c:pt>
                <c:pt idx="2">
                  <c:v>-103.87967681884766</c:v>
                </c:pt>
                <c:pt idx="3">
                  <c:v>-100.63967132568359</c:v>
                </c:pt>
                <c:pt idx="4">
                  <c:v>-97.77996826171875</c:v>
                </c:pt>
                <c:pt idx="5">
                  <c:v>-94.770599365234375</c:v>
                </c:pt>
                <c:pt idx="6">
                  <c:v>-91.548225402832031</c:v>
                </c:pt>
                <c:pt idx="7">
                  <c:v>-88.693855285644531</c:v>
                </c:pt>
                <c:pt idx="8">
                  <c:v>-85.828804016113281</c:v>
                </c:pt>
                <c:pt idx="9">
                  <c:v>-82.979774475097656</c:v>
                </c:pt>
                <c:pt idx="10">
                  <c:v>-79.587562561035156</c:v>
                </c:pt>
                <c:pt idx="11">
                  <c:v>-76.726974487304688</c:v>
                </c:pt>
                <c:pt idx="12">
                  <c:v>-73.878952026367188</c:v>
                </c:pt>
                <c:pt idx="13">
                  <c:v>-70.622077941894531</c:v>
                </c:pt>
                <c:pt idx="14">
                  <c:v>-67.768104553222656</c:v>
                </c:pt>
                <c:pt idx="15">
                  <c:v>-64.92352294921875</c:v>
                </c:pt>
                <c:pt idx="16">
                  <c:v>-61.538715362548828</c:v>
                </c:pt>
                <c:pt idx="17">
                  <c:v>-58.683246612548828</c:v>
                </c:pt>
                <c:pt idx="18">
                  <c:v>-55.810443878173828</c:v>
                </c:pt>
                <c:pt idx="19">
                  <c:v>-52.57769775390625</c:v>
                </c:pt>
                <c:pt idx="20">
                  <c:v>-49.716331481933594</c:v>
                </c:pt>
                <c:pt idx="21">
                  <c:v>-46.874015808105469</c:v>
                </c:pt>
                <c:pt idx="22">
                  <c:v>-43.864967346191406</c:v>
                </c:pt>
                <c:pt idx="23">
                  <c:v>-40.635063171386719</c:v>
                </c:pt>
                <c:pt idx="24">
                  <c:v>-37.758438110351563</c:v>
                </c:pt>
                <c:pt idx="25">
                  <c:v>-34.521457672119141</c:v>
                </c:pt>
                <c:pt idx="26">
                  <c:v>-31.667316436767578</c:v>
                </c:pt>
                <c:pt idx="27">
                  <c:v>-28.670095443725586</c:v>
                </c:pt>
                <c:pt idx="28">
                  <c:v>-25.808725357055664</c:v>
                </c:pt>
                <c:pt idx="29">
                  <c:v>-22.579305648803711</c:v>
                </c:pt>
                <c:pt idx="30">
                  <c:v>-19.716800689697266</c:v>
                </c:pt>
                <c:pt idx="31">
                  <c:v>-16.848855972290039</c:v>
                </c:pt>
                <c:pt idx="32">
                  <c:v>-14.010852813720703</c:v>
                </c:pt>
                <c:pt idx="33">
                  <c:v>-10.613855361938477</c:v>
                </c:pt>
                <c:pt idx="34">
                  <c:v>-7.7684593200683594</c:v>
                </c:pt>
                <c:pt idx="35">
                  <c:v>-4.5263934135437012</c:v>
                </c:pt>
                <c:pt idx="36">
                  <c:v>-1.6687005758285522</c:v>
                </c:pt>
                <c:pt idx="37">
                  <c:v>1.1963492631912231</c:v>
                </c:pt>
                <c:pt idx="38">
                  <c:v>4.0397491455078125</c:v>
                </c:pt>
                <c:pt idx="39">
                  <c:v>7.4302005767822266</c:v>
                </c:pt>
                <c:pt idx="40">
                  <c:v>10.282918930053711</c:v>
                </c:pt>
                <c:pt idx="41">
                  <c:v>13.140551567077637</c:v>
                </c:pt>
                <c:pt idx="42">
                  <c:v>16.395030975341797</c:v>
                </c:pt>
                <c:pt idx="43">
                  <c:v>19.248311996459961</c:v>
                </c:pt>
                <c:pt idx="44">
                  <c:v>22.113960266113281</c:v>
                </c:pt>
                <c:pt idx="45">
                  <c:v>25.478982925415039</c:v>
                </c:pt>
                <c:pt idx="46">
                  <c:v>28.341911315917969</c:v>
                </c:pt>
                <c:pt idx="47">
                  <c:v>31.186302185058594</c:v>
                </c:pt>
                <c:pt idx="48">
                  <c:v>34.447460174560547</c:v>
                </c:pt>
                <c:pt idx="49">
                  <c:v>37.305149078369141</c:v>
                </c:pt>
                <c:pt idx="50">
                  <c:v>40.287929534912109</c:v>
                </c:pt>
                <c:pt idx="51">
                  <c:v>43.153537750244141</c:v>
                </c:pt>
                <c:pt idx="52">
                  <c:v>46.386280059814453</c:v>
                </c:pt>
                <c:pt idx="53">
                  <c:v>49.243377685546875</c:v>
                </c:pt>
                <c:pt idx="54">
                  <c:v>52.109027862548828</c:v>
                </c:pt>
                <c:pt idx="55">
                  <c:v>55.477718353271484</c:v>
                </c:pt>
                <c:pt idx="56">
                  <c:v>58.336978912353516</c:v>
                </c:pt>
                <c:pt idx="57">
                  <c:v>61.20977783203125</c:v>
                </c:pt>
                <c:pt idx="58">
                  <c:v>64.439300537109375</c:v>
                </c:pt>
                <c:pt idx="59">
                  <c:v>67.30389404296875</c:v>
                </c:pt>
                <c:pt idx="60">
                  <c:v>70.150634765625</c:v>
                </c:pt>
                <c:pt idx="61">
                  <c:v>73.0086669921875</c:v>
                </c:pt>
                <c:pt idx="62">
                  <c:v>76.401908874511719</c:v>
                </c:pt>
                <c:pt idx="63">
                  <c:v>79.26177978515625</c:v>
                </c:pt>
                <c:pt idx="64">
                  <c:v>82.109466552734375</c:v>
                </c:pt>
                <c:pt idx="65">
                  <c:v>85.349472045898437</c:v>
                </c:pt>
                <c:pt idx="66">
                  <c:v>88.217231750488281</c:v>
                </c:pt>
                <c:pt idx="67">
                  <c:v>91.211502075195313</c:v>
                </c:pt>
                <c:pt idx="68">
                  <c:v>94.455360412597656</c:v>
                </c:pt>
                <c:pt idx="69">
                  <c:v>97.310836791992188</c:v>
                </c:pt>
                <c:pt idx="70">
                  <c:v>100.16570281982422</c:v>
                </c:pt>
                <c:pt idx="71">
                  <c:v>103.4163818359375</c:v>
                </c:pt>
                <c:pt idx="72">
                  <c:v>106.27346801757813</c:v>
                </c:pt>
                <c:pt idx="73">
                  <c:v>109.25176239013672</c:v>
                </c:pt>
                <c:pt idx="74">
                  <c:v>112.12245178222656</c:v>
                </c:pt>
                <c:pt idx="75">
                  <c:v>115.35520172119141</c:v>
                </c:pt>
                <c:pt idx="76">
                  <c:v>118.21229553222656</c:v>
                </c:pt>
                <c:pt idx="77">
                  <c:v>121.46939086914062</c:v>
                </c:pt>
                <c:pt idx="78">
                  <c:v>124.454345703125</c:v>
                </c:pt>
                <c:pt idx="79">
                  <c:v>127.30589294433594</c:v>
                </c:pt>
                <c:pt idx="80">
                  <c:v>130.18534851074219</c:v>
                </c:pt>
                <c:pt idx="81">
                  <c:v>133.408203125</c:v>
                </c:pt>
                <c:pt idx="82">
                  <c:v>136.26853942871094</c:v>
                </c:pt>
                <c:pt idx="83">
                  <c:v>139.13418579101562</c:v>
                </c:pt>
                <c:pt idx="84">
                  <c:v>142.50665283203125</c:v>
                </c:pt>
                <c:pt idx="85">
                  <c:v>145.36639404296875</c:v>
                </c:pt>
                <c:pt idx="86">
                  <c:v>148.21609497070312</c:v>
                </c:pt>
                <c:pt idx="87">
                  <c:v>151.47100830078125</c:v>
                </c:pt>
                <c:pt idx="88">
                  <c:v>154.32905578613281</c:v>
                </c:pt>
                <c:pt idx="89">
                  <c:v>157.17579650878906</c:v>
                </c:pt>
                <c:pt idx="90">
                  <c:v>160.18746948242187</c:v>
                </c:pt>
                <c:pt idx="91">
                  <c:v>163.40650939941406</c:v>
                </c:pt>
                <c:pt idx="92">
                  <c:v>166.26788330078125</c:v>
                </c:pt>
                <c:pt idx="93">
                  <c:v>169.13462829589844</c:v>
                </c:pt>
                <c:pt idx="94">
                  <c:v>172.3746337890625</c:v>
                </c:pt>
                <c:pt idx="95">
                  <c:v>175.35720825195312</c:v>
                </c:pt>
                <c:pt idx="96">
                  <c:v>178.22576904296875</c:v>
                </c:pt>
                <c:pt idx="97">
                  <c:v>181.46275329589844</c:v>
                </c:pt>
                <c:pt idx="98">
                  <c:v>184.33599853515625</c:v>
                </c:pt>
                <c:pt idx="99">
                  <c:v>187.19085693359375</c:v>
                </c:pt>
                <c:pt idx="100">
                  <c:v>190.56278991699219</c:v>
                </c:pt>
                <c:pt idx="101">
                  <c:v>193.42327880859375</c:v>
                </c:pt>
                <c:pt idx="102">
                  <c:v>196.27693176269531</c:v>
                </c:pt>
                <c:pt idx="103">
                  <c:v>199.14759826660156</c:v>
                </c:pt>
                <c:pt idx="104">
                  <c:v>202.38035583496094</c:v>
                </c:pt>
                <c:pt idx="105">
                  <c:v>205.23745727539062</c:v>
                </c:pt>
                <c:pt idx="106">
                  <c:v>208.08404541015625</c:v>
                </c:pt>
                <c:pt idx="107">
                  <c:v>211.47178649902344</c:v>
                </c:pt>
                <c:pt idx="108">
                  <c:v>214.3310546875</c:v>
                </c:pt>
                <c:pt idx="109">
                  <c:v>217.18055725097656</c:v>
                </c:pt>
                <c:pt idx="110">
                  <c:v>220.43023681640625</c:v>
                </c:pt>
                <c:pt idx="111">
                  <c:v>223.29074096679687</c:v>
                </c:pt>
                <c:pt idx="112">
                  <c:v>226.27706909179687</c:v>
                </c:pt>
                <c:pt idx="113">
                  <c:v>229.14268493652344</c:v>
                </c:pt>
                <c:pt idx="114">
                  <c:v>232.37542724609375</c:v>
                </c:pt>
                <c:pt idx="115">
                  <c:v>235.25077819824219</c:v>
                </c:pt>
                <c:pt idx="116">
                  <c:v>238.09817504882813</c:v>
                </c:pt>
                <c:pt idx="117">
                  <c:v>241.34024047851563</c:v>
                </c:pt>
                <c:pt idx="118">
                  <c:v>244.34420776367187</c:v>
                </c:pt>
                <c:pt idx="119">
                  <c:v>247.20558166503906</c:v>
                </c:pt>
                <c:pt idx="120">
                  <c:v>250.44198608398437</c:v>
                </c:pt>
                <c:pt idx="121">
                  <c:v>253.28877258300781</c:v>
                </c:pt>
                <c:pt idx="122">
                  <c:v>256.15438842773437</c:v>
                </c:pt>
              </c:numCache>
            </c:numRef>
          </c:xVal>
          <c:yVal>
            <c:numRef>
              <c:f>Data!$V$6:$V$128</c:f>
              <c:numCache>
                <c:formatCode>0.00_ </c:formatCode>
                <c:ptCount val="123"/>
                <c:pt idx="0">
                  <c:v>526.943359375</c:v>
                </c:pt>
                <c:pt idx="1">
                  <c:v>134.94625854492188</c:v>
                </c:pt>
                <c:pt idx="2">
                  <c:v>0</c:v>
                </c:pt>
                <c:pt idx="3">
                  <c:v>802.34393310546875</c:v>
                </c:pt>
                <c:pt idx="4">
                  <c:v>777.46502685546875</c:v>
                </c:pt>
                <c:pt idx="5">
                  <c:v>565.4066162109375</c:v>
                </c:pt>
                <c:pt idx="6">
                  <c:v>963.59246826171875</c:v>
                </c:pt>
                <c:pt idx="7">
                  <c:v>778.207763671875</c:v>
                </c:pt>
                <c:pt idx="8">
                  <c:v>2075.993896484375</c:v>
                </c:pt>
                <c:pt idx="9">
                  <c:v>2086.60791015625</c:v>
                </c:pt>
                <c:pt idx="10">
                  <c:v>2705.23779296875</c:v>
                </c:pt>
                <c:pt idx="11">
                  <c:v>3182.96484375</c:v>
                </c:pt>
                <c:pt idx="12">
                  <c:v>3561.7646484375</c:v>
                </c:pt>
                <c:pt idx="13">
                  <c:v>4231.0498046875</c:v>
                </c:pt>
                <c:pt idx="14">
                  <c:v>4570.90625</c:v>
                </c:pt>
                <c:pt idx="15">
                  <c:v>4593.09326171875</c:v>
                </c:pt>
                <c:pt idx="16">
                  <c:v>5837.005859375</c:v>
                </c:pt>
                <c:pt idx="17">
                  <c:v>5892.4111328125</c:v>
                </c:pt>
                <c:pt idx="18">
                  <c:v>6620.50537109375</c:v>
                </c:pt>
                <c:pt idx="19">
                  <c:v>6745.224609375</c:v>
                </c:pt>
                <c:pt idx="20">
                  <c:v>7419.50732421875</c:v>
                </c:pt>
                <c:pt idx="21">
                  <c:v>8571.5791015625</c:v>
                </c:pt>
                <c:pt idx="22">
                  <c:v>8926.2734375</c:v>
                </c:pt>
                <c:pt idx="23">
                  <c:v>9485.81640625</c:v>
                </c:pt>
                <c:pt idx="24">
                  <c:v>10801.2705078125</c:v>
                </c:pt>
                <c:pt idx="25">
                  <c:v>12467.04296875</c:v>
                </c:pt>
                <c:pt idx="26">
                  <c:v>14280.8486328125</c:v>
                </c:pt>
                <c:pt idx="27">
                  <c:v>14742.2841796875</c:v>
                </c:pt>
                <c:pt idx="28">
                  <c:v>14809.32421875</c:v>
                </c:pt>
                <c:pt idx="29">
                  <c:v>15197.4072265625</c:v>
                </c:pt>
                <c:pt idx="30">
                  <c:v>13815.701171875</c:v>
                </c:pt>
                <c:pt idx="31">
                  <c:v>15755.8818359375</c:v>
                </c:pt>
                <c:pt idx="32">
                  <c:v>21521.669921875</c:v>
                </c:pt>
                <c:pt idx="33">
                  <c:v>28796.08203125</c:v>
                </c:pt>
                <c:pt idx="34">
                  <c:v>29968.158203125</c:v>
                </c:pt>
                <c:pt idx="35">
                  <c:v>22343.044921875</c:v>
                </c:pt>
                <c:pt idx="36">
                  <c:v>15989.1982421875</c:v>
                </c:pt>
                <c:pt idx="37">
                  <c:v>14571.2255859375</c:v>
                </c:pt>
                <c:pt idx="38">
                  <c:v>15932.6640625</c:v>
                </c:pt>
                <c:pt idx="39">
                  <c:v>15160.4287109375</c:v>
                </c:pt>
                <c:pt idx="40">
                  <c:v>14340.2607421875</c:v>
                </c:pt>
                <c:pt idx="41">
                  <c:v>12217.015625</c:v>
                </c:pt>
                <c:pt idx="42">
                  <c:v>10575.4580078125</c:v>
                </c:pt>
                <c:pt idx="43">
                  <c:v>9661.2978515625</c:v>
                </c:pt>
                <c:pt idx="44">
                  <c:v>9182.44140625</c:v>
                </c:pt>
                <c:pt idx="45">
                  <c:v>7835.98046875</c:v>
                </c:pt>
                <c:pt idx="46">
                  <c:v>7964.61474609375</c:v>
                </c:pt>
                <c:pt idx="47">
                  <c:v>6393.625</c:v>
                </c:pt>
                <c:pt idx="48">
                  <c:v>6491.15966796875</c:v>
                </c:pt>
                <c:pt idx="49">
                  <c:v>5515.76220703125</c:v>
                </c:pt>
                <c:pt idx="50">
                  <c:v>4910.25244140625</c:v>
                </c:pt>
                <c:pt idx="51">
                  <c:v>4462.38623046875</c:v>
                </c:pt>
                <c:pt idx="52">
                  <c:v>3866.948486328125</c:v>
                </c:pt>
                <c:pt idx="53">
                  <c:v>3556.349365234375</c:v>
                </c:pt>
                <c:pt idx="54">
                  <c:v>3526.070556640625</c:v>
                </c:pt>
                <c:pt idx="55">
                  <c:v>2551.6630859375</c:v>
                </c:pt>
                <c:pt idx="56">
                  <c:v>2815.645751953125</c:v>
                </c:pt>
                <c:pt idx="57">
                  <c:v>1755.755859375</c:v>
                </c:pt>
                <c:pt idx="58">
                  <c:v>1385.295654296875</c:v>
                </c:pt>
                <c:pt idx="59">
                  <c:v>1245.3365478515625</c:v>
                </c:pt>
                <c:pt idx="60">
                  <c:v>1293.40771484375</c:v>
                </c:pt>
                <c:pt idx="61">
                  <c:v>1542.3668212890625</c:v>
                </c:pt>
                <c:pt idx="62">
                  <c:v>564.94244384765625</c:v>
                </c:pt>
                <c:pt idx="63">
                  <c:v>898.98162841796875</c:v>
                </c:pt>
                <c:pt idx="64">
                  <c:v>965.4490966796875</c:v>
                </c:pt>
                <c:pt idx="65">
                  <c:v>1232.680419921875</c:v>
                </c:pt>
                <c:pt idx="66">
                  <c:v>730.55413818359375</c:v>
                </c:pt>
                <c:pt idx="67">
                  <c:v>1485.8013916015625</c:v>
                </c:pt>
                <c:pt idx="68">
                  <c:v>1090.46240234375</c:v>
                </c:pt>
                <c:pt idx="69">
                  <c:v>1608.1689453125</c:v>
                </c:pt>
                <c:pt idx="70">
                  <c:v>1858.86083984375</c:v>
                </c:pt>
                <c:pt idx="71">
                  <c:v>2734.851318359375</c:v>
                </c:pt>
                <c:pt idx="72">
                  <c:v>3150.412109375</c:v>
                </c:pt>
                <c:pt idx="73">
                  <c:v>3502.181884765625</c:v>
                </c:pt>
                <c:pt idx="74">
                  <c:v>3665.0244140625</c:v>
                </c:pt>
                <c:pt idx="75">
                  <c:v>4485.94970703125</c:v>
                </c:pt>
                <c:pt idx="76">
                  <c:v>5110.892578125</c:v>
                </c:pt>
                <c:pt idx="77">
                  <c:v>5362.94580078125</c:v>
                </c:pt>
                <c:pt idx="78">
                  <c:v>5673.40576171875</c:v>
                </c:pt>
                <c:pt idx="79">
                  <c:v>6517.55517578125</c:v>
                </c:pt>
                <c:pt idx="80">
                  <c:v>7139.8984375</c:v>
                </c:pt>
                <c:pt idx="81">
                  <c:v>7650.642578125</c:v>
                </c:pt>
                <c:pt idx="82">
                  <c:v>8868.22265625</c:v>
                </c:pt>
                <c:pt idx="83">
                  <c:v>9525.0986328125</c:v>
                </c:pt>
                <c:pt idx="84">
                  <c:v>10244.6064453125</c:v>
                </c:pt>
                <c:pt idx="85">
                  <c:v>12134.6123046875</c:v>
                </c:pt>
                <c:pt idx="86">
                  <c:v>13105.4765625</c:v>
                </c:pt>
                <c:pt idx="87">
                  <c:v>14382.87109375</c:v>
                </c:pt>
                <c:pt idx="88">
                  <c:v>15129.90234375</c:v>
                </c:pt>
                <c:pt idx="89">
                  <c:v>15213.6513671875</c:v>
                </c:pt>
                <c:pt idx="90">
                  <c:v>14774.125</c:v>
                </c:pt>
                <c:pt idx="91">
                  <c:v>14956.3232421875</c:v>
                </c:pt>
                <c:pt idx="92">
                  <c:v>19825.77734375</c:v>
                </c:pt>
                <c:pt idx="93">
                  <c:v>29299.228515625</c:v>
                </c:pt>
                <c:pt idx="94">
                  <c:v>30000</c:v>
                </c:pt>
                <c:pt idx="95">
                  <c:v>24349.86328125</c:v>
                </c:pt>
                <c:pt idx="96">
                  <c:v>17059.115234375</c:v>
                </c:pt>
                <c:pt idx="97">
                  <c:v>15432.8271484375</c:v>
                </c:pt>
                <c:pt idx="98">
                  <c:v>16171.8916015625</c:v>
                </c:pt>
                <c:pt idx="99">
                  <c:v>15845.4013671875</c:v>
                </c:pt>
                <c:pt idx="100">
                  <c:v>14453.1748046875</c:v>
                </c:pt>
                <c:pt idx="101">
                  <c:v>12766.2080078125</c:v>
                </c:pt>
                <c:pt idx="102">
                  <c:v>11122.79296875</c:v>
                </c:pt>
                <c:pt idx="103">
                  <c:v>10399.4501953125</c:v>
                </c:pt>
                <c:pt idx="104">
                  <c:v>8454.240234375</c:v>
                </c:pt>
                <c:pt idx="105">
                  <c:v>8674.962890625</c:v>
                </c:pt>
                <c:pt idx="106">
                  <c:v>8161.91259765625</c:v>
                </c:pt>
                <c:pt idx="107">
                  <c:v>6819.443359375</c:v>
                </c:pt>
                <c:pt idx="108">
                  <c:v>5779.60546875</c:v>
                </c:pt>
                <c:pt idx="109">
                  <c:v>4938.7978515625</c:v>
                </c:pt>
                <c:pt idx="110">
                  <c:v>4172.55029296875</c:v>
                </c:pt>
                <c:pt idx="111">
                  <c:v>4730.77783203125</c:v>
                </c:pt>
                <c:pt idx="112">
                  <c:v>3936.83544921875</c:v>
                </c:pt>
                <c:pt idx="113">
                  <c:v>3665.24072265625</c:v>
                </c:pt>
                <c:pt idx="114">
                  <c:v>3469.056640625</c:v>
                </c:pt>
                <c:pt idx="115">
                  <c:v>3011.53564453125</c:v>
                </c:pt>
                <c:pt idx="116">
                  <c:v>2855.455078125</c:v>
                </c:pt>
                <c:pt idx="117">
                  <c:v>1669.3914794921875</c:v>
                </c:pt>
                <c:pt idx="118">
                  <c:v>833.628173828125</c:v>
                </c:pt>
                <c:pt idx="119">
                  <c:v>1323.4852294921875</c:v>
                </c:pt>
                <c:pt idx="120">
                  <c:v>958.1463623046875</c:v>
                </c:pt>
                <c:pt idx="121">
                  <c:v>939.70379638671875</c:v>
                </c:pt>
                <c:pt idx="122">
                  <c:v>842.49359130859375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61280"/>
        <c:axId val="215099648"/>
      </c:scatterChart>
      <c:valAx>
        <c:axId val="167361280"/>
        <c:scaling>
          <c:orientation val="minMax"/>
        </c:scaling>
        <c:delete val="0"/>
        <c:axPos val="b"/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099648"/>
        <c:crosses val="autoZero"/>
        <c:crossBetween val="midCat"/>
      </c:valAx>
      <c:valAx>
        <c:axId val="215099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361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5871048727604702"/>
          <c:y val="2.1918383489735016E-2"/>
          <c:w val="0.51088599794590894"/>
          <c:h val="6.02759860496890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6</xdr:row>
      <xdr:rowOff>28575</xdr:rowOff>
    </xdr:from>
    <xdr:to>
      <xdr:col>10</xdr:col>
      <xdr:colOff>0</xdr:colOff>
      <xdr:row>25</xdr:row>
      <xdr:rowOff>76200</xdr:rowOff>
    </xdr:to>
    <xdr:graphicFrame macro="">
      <xdr:nvGraphicFramePr>
        <xdr:cNvPr id="1545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28575</xdr:colOff>
      <xdr:row>6</xdr:row>
      <xdr:rowOff>38100</xdr:rowOff>
    </xdr:from>
    <xdr:to>
      <xdr:col>16</xdr:col>
      <xdr:colOff>161925</xdr:colOff>
      <xdr:row>25</xdr:row>
      <xdr:rowOff>28575</xdr:rowOff>
    </xdr:to>
    <xdr:graphicFrame macro="">
      <xdr:nvGraphicFramePr>
        <xdr:cNvPr id="1546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</xdr:row>
          <xdr:rowOff>19050</xdr:rowOff>
        </xdr:from>
        <xdr:to>
          <xdr:col>3</xdr:col>
          <xdr:colOff>485775</xdr:colOff>
          <xdr:row>2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</xdr:row>
          <xdr:rowOff>19050</xdr:rowOff>
        </xdr:from>
        <xdr:to>
          <xdr:col>5</xdr:col>
          <xdr:colOff>333375</xdr:colOff>
          <xdr:row>2</xdr:row>
          <xdr:rowOff>114300</xdr:rowOff>
        </xdr:to>
        <xdr:sp macro="" textlink="">
          <xdr:nvSpPr>
            <xdr:cNvPr id="1520" name="CommandButton2" hidden="1">
              <a:extLst>
                <a:ext uri="{63B3BB69-23CF-44E3-9099-C40C66FF867C}">
                  <a14:compatExt spid="_x0000_s1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16</xdr:col>
      <xdr:colOff>180975</xdr:colOff>
      <xdr:row>6</xdr:row>
      <xdr:rowOff>28575</xdr:rowOff>
    </xdr:from>
    <xdr:to>
      <xdr:col>22</xdr:col>
      <xdr:colOff>419100</xdr:colOff>
      <xdr:row>25</xdr:row>
      <xdr:rowOff>57150</xdr:rowOff>
    </xdr:to>
    <xdr:graphicFrame macro="">
      <xdr:nvGraphicFramePr>
        <xdr:cNvPr id="1547" name="Chart 5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517"/>
  <sheetViews>
    <sheetView tabSelected="1" zoomScale="90" zoomScaleNormal="90" workbookViewId="0">
      <selection activeCell="I5" sqref="I5"/>
    </sheetView>
  </sheetViews>
  <sheetFormatPr defaultRowHeight="14.25"/>
  <cols>
    <col min="1" max="1" width="2.625" style="1" customWidth="1"/>
    <col min="2" max="2" width="4.625" style="1" customWidth="1"/>
    <col min="3" max="3" width="8.625" style="3" customWidth="1"/>
    <col min="4" max="4" width="14" style="3" customWidth="1"/>
    <col min="5" max="5" width="2.625" style="3" customWidth="1"/>
    <col min="6" max="6" width="8.625" style="4" customWidth="1"/>
    <col min="7" max="7" width="12.25" style="4" customWidth="1"/>
    <col min="8" max="8" width="8.625" style="4" customWidth="1"/>
    <col min="9" max="12" width="2.625" style="1" customWidth="1"/>
    <col min="13" max="13" width="9" style="1"/>
    <col min="14" max="14" width="12.125" style="1" customWidth="1"/>
    <col min="15" max="15" width="22.125" style="1" bestFit="1" customWidth="1"/>
    <col min="16" max="16" width="11.625" style="1" customWidth="1"/>
    <col min="17" max="17" width="8.25" style="1" customWidth="1"/>
    <col min="18" max="18" width="8.625" style="3" customWidth="1"/>
    <col min="19" max="19" width="14" style="3" customWidth="1"/>
    <col min="20" max="20" width="2.625" style="3" customWidth="1"/>
    <col min="21" max="21" width="8.625" style="4" customWidth="1"/>
    <col min="22" max="22" width="12.25" style="4" customWidth="1"/>
    <col min="23" max="23" width="8.625" style="4" customWidth="1"/>
    <col min="24" max="16384" width="9" style="1"/>
  </cols>
  <sheetData>
    <row r="1" spans="2:23" ht="24" thickBot="1">
      <c r="B1" s="24" t="s">
        <v>26</v>
      </c>
      <c r="N1" s="25" t="s">
        <v>27</v>
      </c>
    </row>
    <row r="2" spans="2:23" ht="15.75">
      <c r="H2" s="23" t="s">
        <v>28</v>
      </c>
      <c r="N2" s="10" t="s">
        <v>22</v>
      </c>
      <c r="O2" s="11"/>
      <c r="P2" s="22"/>
      <c r="Q2" s="12" t="s">
        <v>24</v>
      </c>
    </row>
    <row r="3" spans="2:23" ht="15.75">
      <c r="K3" s="5"/>
      <c r="N3" s="13" t="s">
        <v>21</v>
      </c>
      <c r="O3" s="14"/>
      <c r="P3" s="21"/>
      <c r="Q3" s="15" t="s">
        <v>18</v>
      </c>
    </row>
    <row r="4" spans="2:23" ht="15">
      <c r="C4" s="3" t="s">
        <v>1</v>
      </c>
      <c r="D4" s="3">
        <v>-10.7</v>
      </c>
      <c r="F4" s="4" t="s">
        <v>2</v>
      </c>
      <c r="G4" s="4">
        <v>-84.1</v>
      </c>
      <c r="H4" s="4">
        <f>D4-G4</f>
        <v>73.399999999999991</v>
      </c>
      <c r="I4" s="2"/>
      <c r="K4" s="5"/>
      <c r="N4" s="13" t="s">
        <v>19</v>
      </c>
      <c r="O4" s="14" t="s">
        <v>23</v>
      </c>
      <c r="P4" s="19"/>
      <c r="Q4" s="15"/>
      <c r="R4" s="3" t="s">
        <v>1</v>
      </c>
      <c r="S4" s="3">
        <v>-10.7</v>
      </c>
      <c r="U4" s="4" t="s">
        <v>2</v>
      </c>
      <c r="V4" s="4">
        <v>-84.1</v>
      </c>
    </row>
    <row r="5" spans="2:23" ht="15.75" thickBot="1">
      <c r="C5" s="3" t="s">
        <v>0</v>
      </c>
      <c r="D5" s="3" t="s">
        <v>3</v>
      </c>
      <c r="F5" s="4" t="s">
        <v>0</v>
      </c>
      <c r="G5" s="3" t="s">
        <v>3</v>
      </c>
      <c r="H5" s="7" t="s">
        <v>17</v>
      </c>
      <c r="I5" s="7" t="s">
        <v>16</v>
      </c>
      <c r="N5" s="16" t="s">
        <v>20</v>
      </c>
      <c r="O5" s="17" t="s">
        <v>25</v>
      </c>
      <c r="P5" s="20"/>
      <c r="Q5" s="18"/>
      <c r="R5" s="3" t="s">
        <v>0</v>
      </c>
      <c r="S5" s="3" t="s">
        <v>3</v>
      </c>
      <c r="U5" s="4" t="s">
        <v>0</v>
      </c>
      <c r="V5" s="3" t="s">
        <v>3</v>
      </c>
      <c r="W5" s="7"/>
    </row>
    <row r="6" spans="2:23">
      <c r="B6" s="1">
        <v>1</v>
      </c>
      <c r="C6" s="6">
        <v>-146.11494445800781</v>
      </c>
      <c r="D6" s="6">
        <v>4251.86181640625</v>
      </c>
      <c r="E6" s="6"/>
      <c r="F6" s="6">
        <v>-146.22410583496094</v>
      </c>
      <c r="G6" s="6">
        <v>3672.46630859375</v>
      </c>
      <c r="H6" s="4">
        <f>F6+H$4</f>
        <v>-72.824105834960946</v>
      </c>
      <c r="I6" s="2"/>
      <c r="Q6" s="1">
        <v>1</v>
      </c>
      <c r="R6" s="6">
        <v>-109.6077880859375</v>
      </c>
      <c r="S6" s="6">
        <v>660.556640625</v>
      </c>
      <c r="T6" s="6"/>
      <c r="U6" s="6">
        <v>-183.10369873046875</v>
      </c>
      <c r="V6" s="6">
        <v>526.943359375</v>
      </c>
    </row>
    <row r="7" spans="2:23">
      <c r="B7" s="1">
        <v>2</v>
      </c>
      <c r="C7" s="6">
        <v>-142.85508728027344</v>
      </c>
      <c r="D7" s="6">
        <v>4262.35888671875</v>
      </c>
      <c r="E7" s="6"/>
      <c r="F7" s="6">
        <v>-142.96623229980469</v>
      </c>
      <c r="G7" s="6">
        <v>3997.997314453125</v>
      </c>
      <c r="H7" s="4">
        <f t="shared" ref="H7:H70" si="0">F7+H$4</f>
        <v>-69.566232299804696</v>
      </c>
      <c r="J7" s="1" t="s">
        <v>4</v>
      </c>
      <c r="Q7" s="1">
        <v>2</v>
      </c>
      <c r="R7" s="6">
        <v>-106.73244476318359</v>
      </c>
      <c r="S7" s="6">
        <v>233.45298767089844</v>
      </c>
      <c r="T7" s="6"/>
      <c r="U7" s="6">
        <v>-180.23008728027344</v>
      </c>
      <c r="V7" s="6">
        <v>134.94625854492188</v>
      </c>
    </row>
    <row r="8" spans="2:23">
      <c r="B8" s="1">
        <v>3</v>
      </c>
      <c r="C8" s="6">
        <v>-140.00180053710937</v>
      </c>
      <c r="D8" s="6">
        <v>3483.889404296875</v>
      </c>
      <c r="E8" s="6"/>
      <c r="F8" s="6">
        <v>-140.11466979980469</v>
      </c>
      <c r="G8" s="6">
        <v>4496.29931640625</v>
      </c>
      <c r="H8" s="4">
        <f t="shared" si="0"/>
        <v>-66.714669799804696</v>
      </c>
      <c r="K8" s="8" t="s">
        <v>5</v>
      </c>
      <c r="Q8" s="1">
        <v>3</v>
      </c>
      <c r="R8" s="6">
        <v>-103.87967681884766</v>
      </c>
      <c r="S8" s="6">
        <v>386.57476806640625</v>
      </c>
      <c r="T8" s="6"/>
      <c r="U8" s="6">
        <v>-177.3790283203125</v>
      </c>
      <c r="V8" s="6">
        <v>0</v>
      </c>
    </row>
    <row r="9" spans="2:23">
      <c r="B9" s="1">
        <v>4</v>
      </c>
      <c r="C9" s="6">
        <v>-137.15945434570312</v>
      </c>
      <c r="D9" s="6">
        <v>2964.69775390625</v>
      </c>
      <c r="E9" s="6"/>
      <c r="F9" s="6">
        <v>-137.27403259277344</v>
      </c>
      <c r="G9" s="6">
        <v>4634.1181640625</v>
      </c>
      <c r="H9" s="4">
        <f t="shared" si="0"/>
        <v>-63.874032592773446</v>
      </c>
      <c r="K9" s="8" t="s">
        <v>6</v>
      </c>
      <c r="Q9" s="1">
        <v>4</v>
      </c>
      <c r="R9" s="6">
        <v>-100.63967132568359</v>
      </c>
      <c r="S9" s="6">
        <v>0</v>
      </c>
      <c r="T9" s="6"/>
      <c r="U9" s="6">
        <v>-174.14097595214844</v>
      </c>
      <c r="V9" s="6">
        <v>802.34393310546875</v>
      </c>
    </row>
    <row r="10" spans="2:23">
      <c r="B10" s="1">
        <v>5</v>
      </c>
      <c r="C10" s="6">
        <v>-133.76747131347656</v>
      </c>
      <c r="D10" s="6">
        <v>2087.46875</v>
      </c>
      <c r="E10" s="6"/>
      <c r="F10" s="6">
        <v>-133.88407897949219</v>
      </c>
      <c r="G10" s="6">
        <v>5120.88232421875</v>
      </c>
      <c r="H10" s="4">
        <f t="shared" si="0"/>
        <v>-60.484078979492196</v>
      </c>
      <c r="Q10" s="1">
        <v>5</v>
      </c>
      <c r="R10" s="6">
        <v>-97.77996826171875</v>
      </c>
      <c r="S10" s="6">
        <v>774.27978515625</v>
      </c>
      <c r="T10" s="6"/>
      <c r="U10" s="6">
        <v>-171.28300476074219</v>
      </c>
      <c r="V10" s="6">
        <v>777.46502685546875</v>
      </c>
    </row>
    <row r="11" spans="2:23">
      <c r="B11" s="1">
        <v>6</v>
      </c>
      <c r="C11" s="6">
        <v>-130.90609741210937</v>
      </c>
      <c r="D11" s="6">
        <v>2083.91162109375</v>
      </c>
      <c r="E11" s="6"/>
      <c r="F11" s="6">
        <v>-131.02442932128906</v>
      </c>
      <c r="G11" s="6">
        <v>5203.07763671875</v>
      </c>
      <c r="H11" s="4">
        <f t="shared" si="0"/>
        <v>-57.624429321289071</v>
      </c>
      <c r="J11" s="1" t="s">
        <v>7</v>
      </c>
      <c r="Q11" s="1">
        <v>6</v>
      </c>
      <c r="R11" s="6">
        <v>-94.770599365234375</v>
      </c>
      <c r="S11" s="6">
        <v>745.63507080078125</v>
      </c>
      <c r="T11" s="6"/>
      <c r="U11" s="6">
        <v>-168.27543640136719</v>
      </c>
      <c r="V11" s="6">
        <v>565.4066162109375</v>
      </c>
    </row>
    <row r="12" spans="2:23">
      <c r="B12" s="1">
        <v>7</v>
      </c>
      <c r="C12" s="6">
        <v>-128.05870056152344</v>
      </c>
      <c r="D12" s="6">
        <v>2365.533447265625</v>
      </c>
      <c r="E12" s="6"/>
      <c r="F12" s="6">
        <v>-128.17874145507812</v>
      </c>
      <c r="G12" s="6">
        <v>6020.14794921875</v>
      </c>
      <c r="H12" s="4">
        <f t="shared" si="0"/>
        <v>-54.778741455078134</v>
      </c>
      <c r="K12" s="1" t="s">
        <v>8</v>
      </c>
      <c r="Q12" s="1">
        <v>7</v>
      </c>
      <c r="R12" s="6">
        <v>-91.548225402832031</v>
      </c>
      <c r="S12" s="6">
        <v>1149.8746337890625</v>
      </c>
      <c r="T12" s="6"/>
      <c r="U12" s="6">
        <v>-165.05500793457031</v>
      </c>
      <c r="V12" s="6">
        <v>963.59246826171875</v>
      </c>
    </row>
    <row r="13" spans="2:23">
      <c r="B13" s="1">
        <v>8</v>
      </c>
      <c r="C13" s="6">
        <v>-124.80265808105469</v>
      </c>
      <c r="D13" s="6">
        <v>2047.0693359375</v>
      </c>
      <c r="E13" s="6"/>
      <c r="F13" s="6">
        <v>-124.92467498779297</v>
      </c>
      <c r="G13" s="6">
        <v>6789.1435546875</v>
      </c>
      <c r="H13" s="4">
        <f t="shared" si="0"/>
        <v>-51.524674987792977</v>
      </c>
      <c r="K13" s="1" t="s">
        <v>9</v>
      </c>
      <c r="Q13" s="1">
        <v>8</v>
      </c>
      <c r="R13" s="6">
        <v>-88.693855285644531</v>
      </c>
      <c r="S13" s="6">
        <v>1371.4595947265625</v>
      </c>
      <c r="T13" s="6"/>
      <c r="U13" s="6">
        <v>-162.20236206054687</v>
      </c>
      <c r="V13" s="6">
        <v>778.207763671875</v>
      </c>
    </row>
    <row r="14" spans="2:23">
      <c r="B14" s="1">
        <v>9</v>
      </c>
      <c r="C14" s="6">
        <v>-121.94557189941406</v>
      </c>
      <c r="D14" s="6">
        <v>1530.1328125</v>
      </c>
      <c r="E14" s="6"/>
      <c r="F14" s="6">
        <v>-122.06929779052734</v>
      </c>
      <c r="G14" s="6">
        <v>7222.67138671875</v>
      </c>
      <c r="H14" s="4">
        <f t="shared" si="0"/>
        <v>-48.669297790527352</v>
      </c>
      <c r="L14" s="1" t="s">
        <v>10</v>
      </c>
      <c r="Q14" s="1">
        <v>9</v>
      </c>
      <c r="R14" s="6">
        <v>-85.828804016113281</v>
      </c>
      <c r="S14" s="6">
        <v>1311.7802734375</v>
      </c>
      <c r="T14" s="6"/>
      <c r="U14" s="6">
        <v>-159.33903503417969</v>
      </c>
      <c r="V14" s="6">
        <v>2075.993896484375</v>
      </c>
    </row>
    <row r="15" spans="2:23">
      <c r="B15" s="1">
        <v>10</v>
      </c>
      <c r="C15" s="6">
        <v>-118.96218872070312</v>
      </c>
      <c r="D15" s="6">
        <v>717.10791015625</v>
      </c>
      <c r="E15" s="6"/>
      <c r="F15" s="6">
        <v>-119.08772277832031</v>
      </c>
      <c r="G15" s="6">
        <v>7584.89453125</v>
      </c>
      <c r="H15" s="4">
        <f t="shared" si="0"/>
        <v>-45.687722778320321</v>
      </c>
      <c r="L15" s="1" t="s">
        <v>11</v>
      </c>
      <c r="Q15" s="1">
        <v>10</v>
      </c>
      <c r="R15" s="6">
        <v>-82.979774475097656</v>
      </c>
      <c r="S15" s="6">
        <v>1885.401611328125</v>
      </c>
      <c r="T15" s="6"/>
      <c r="U15" s="6">
        <v>-156.49171447753906</v>
      </c>
      <c r="V15" s="6">
        <v>2086.60791015625</v>
      </c>
    </row>
    <row r="16" spans="2:23">
      <c r="B16" s="1">
        <v>11</v>
      </c>
      <c r="C16" s="6">
        <v>-115.71122741699219</v>
      </c>
      <c r="D16" s="6">
        <v>811.32586669921875</v>
      </c>
      <c r="E16" s="6"/>
      <c r="F16" s="6">
        <v>-115.83872222900391</v>
      </c>
      <c r="G16" s="6">
        <v>9068.6474609375</v>
      </c>
      <c r="H16" s="4">
        <f t="shared" si="0"/>
        <v>-42.438722229003915</v>
      </c>
      <c r="L16" s="1" t="s">
        <v>12</v>
      </c>
      <c r="Q16" s="1">
        <v>11</v>
      </c>
      <c r="R16" s="6">
        <v>-79.587562561035156</v>
      </c>
      <c r="S16" s="6">
        <v>2275.59326171875</v>
      </c>
      <c r="T16" s="6"/>
      <c r="U16" s="6">
        <v>-153.23370361328125</v>
      </c>
      <c r="V16" s="6">
        <v>2705.23779296875</v>
      </c>
    </row>
    <row r="17" spans="2:22">
      <c r="B17" s="1">
        <v>12</v>
      </c>
      <c r="C17" s="6">
        <v>-112.85195922851562</v>
      </c>
      <c r="D17" s="6">
        <v>782.74127197265625</v>
      </c>
      <c r="E17" s="6"/>
      <c r="F17" s="6">
        <v>-112.98117828369141</v>
      </c>
      <c r="G17" s="6">
        <v>8936.990234375</v>
      </c>
      <c r="H17" s="4">
        <f t="shared" si="0"/>
        <v>-39.581178283691415</v>
      </c>
      <c r="L17" s="1" t="s">
        <v>13</v>
      </c>
      <c r="Q17" s="1">
        <v>12</v>
      </c>
      <c r="R17" s="6">
        <v>-76.726974487304688</v>
      </c>
      <c r="S17" s="6">
        <v>3044.44775390625</v>
      </c>
      <c r="T17" s="6"/>
      <c r="U17" s="6">
        <v>-150.24270629882813</v>
      </c>
      <c r="V17" s="6">
        <v>3182.96484375</v>
      </c>
    </row>
    <row r="18" spans="2:22">
      <c r="B18" s="1">
        <v>13</v>
      </c>
      <c r="C18" s="6">
        <v>-110.00674438476562</v>
      </c>
      <c r="D18" s="6">
        <v>526.5439453125</v>
      </c>
      <c r="E18" s="6"/>
      <c r="F18" s="6">
        <v>-110.13766479492187</v>
      </c>
      <c r="G18" s="6">
        <v>11550.3125</v>
      </c>
      <c r="H18" s="4">
        <f t="shared" si="0"/>
        <v>-36.737664794921884</v>
      </c>
      <c r="L18" s="1" t="s">
        <v>14</v>
      </c>
      <c r="Q18" s="1">
        <v>13</v>
      </c>
      <c r="R18" s="6">
        <v>-73.878952026367188</v>
      </c>
      <c r="S18" s="6">
        <v>3012.2021484375</v>
      </c>
      <c r="T18" s="6"/>
      <c r="U18" s="6">
        <v>-147.39639282226562</v>
      </c>
      <c r="V18" s="6">
        <v>3561.7646484375</v>
      </c>
    </row>
    <row r="19" spans="2:22">
      <c r="B19" s="1">
        <v>14</v>
      </c>
      <c r="C19" s="6">
        <v>-106.74964904785156</v>
      </c>
      <c r="D19" s="6">
        <v>0</v>
      </c>
      <c r="E19" s="6"/>
      <c r="F19" s="6">
        <v>-106.88253021240234</v>
      </c>
      <c r="G19" s="6">
        <v>13536.9267578125</v>
      </c>
      <c r="H19" s="4">
        <f t="shared" si="0"/>
        <v>-33.482530212402352</v>
      </c>
      <c r="L19" s="1" t="s">
        <v>15</v>
      </c>
      <c r="Q19" s="1">
        <v>14</v>
      </c>
      <c r="R19" s="6">
        <v>-70.622077941894531</v>
      </c>
      <c r="S19" s="6">
        <v>3524.90087890625</v>
      </c>
      <c r="T19" s="6"/>
      <c r="U19" s="6">
        <v>-144.14146423339844</v>
      </c>
      <c r="V19" s="6">
        <v>4231.0498046875</v>
      </c>
    </row>
    <row r="20" spans="2:22" ht="15">
      <c r="B20" s="1">
        <v>15</v>
      </c>
      <c r="C20" s="6">
        <v>-103.76468658447266</v>
      </c>
      <c r="D20" s="6">
        <v>336.0277099609375</v>
      </c>
      <c r="E20" s="6"/>
      <c r="F20" s="6">
        <v>-103.89938354492187</v>
      </c>
      <c r="G20" s="6">
        <v>14128.361328125</v>
      </c>
      <c r="H20" s="4">
        <f t="shared" si="0"/>
        <v>-30.499383544921884</v>
      </c>
      <c r="N20" s="9"/>
      <c r="Q20" s="1">
        <v>15</v>
      </c>
      <c r="R20" s="6">
        <v>-67.768104553222656</v>
      </c>
      <c r="S20" s="6">
        <v>3688.90625</v>
      </c>
      <c r="T20" s="6"/>
      <c r="U20" s="6">
        <v>-141.28923034667969</v>
      </c>
      <c r="V20" s="6">
        <v>4570.90625</v>
      </c>
    </row>
    <row r="21" spans="2:22">
      <c r="B21" s="1">
        <v>16</v>
      </c>
      <c r="C21" s="6">
        <v>-100.91103363037109</v>
      </c>
      <c r="D21" s="6">
        <v>362.61138916015625</v>
      </c>
      <c r="E21" s="6"/>
      <c r="F21" s="6">
        <v>-101.04743957519531</v>
      </c>
      <c r="G21" s="6">
        <v>14362.423828125</v>
      </c>
      <c r="H21" s="4">
        <f t="shared" si="0"/>
        <v>-27.647439575195321</v>
      </c>
      <c r="Q21" s="1">
        <v>16</v>
      </c>
      <c r="R21" s="6">
        <v>-64.92352294921875</v>
      </c>
      <c r="S21" s="6">
        <v>4775.96875</v>
      </c>
      <c r="T21" s="6"/>
      <c r="U21" s="6">
        <v>-138.44638061523437</v>
      </c>
      <c r="V21" s="6">
        <v>4593.09326171875</v>
      </c>
    </row>
    <row r="22" spans="2:22">
      <c r="B22" s="1">
        <v>17</v>
      </c>
      <c r="C22" s="6">
        <v>-98.058265686035156</v>
      </c>
      <c r="D22" s="6">
        <v>440.15499877929687</v>
      </c>
      <c r="E22" s="6"/>
      <c r="F22" s="6">
        <v>-98.196395874023438</v>
      </c>
      <c r="G22" s="6">
        <v>14637.5068359375</v>
      </c>
      <c r="H22" s="4">
        <f t="shared" si="0"/>
        <v>-24.796395874023446</v>
      </c>
      <c r="Q22" s="1">
        <v>17</v>
      </c>
      <c r="R22" s="6">
        <v>-61.538715362548828</v>
      </c>
      <c r="S22" s="6">
        <v>5909.53515625</v>
      </c>
      <c r="T22" s="6"/>
      <c r="U22" s="6">
        <v>-135.0635986328125</v>
      </c>
      <c r="V22" s="6">
        <v>5837.005859375</v>
      </c>
    </row>
    <row r="23" spans="2:22">
      <c r="B23" s="1">
        <v>18</v>
      </c>
      <c r="C23" s="6">
        <v>-94.804267883300781</v>
      </c>
      <c r="D23" s="6">
        <v>712.40728759765625</v>
      </c>
      <c r="E23" s="6"/>
      <c r="F23" s="6">
        <v>-94.944358825683594</v>
      </c>
      <c r="G23" s="6">
        <v>14388.009765625</v>
      </c>
      <c r="H23" s="4">
        <f t="shared" si="0"/>
        <v>-21.544358825683602</v>
      </c>
      <c r="Q23" s="1">
        <v>18</v>
      </c>
      <c r="R23" s="6">
        <v>-58.683246612548828</v>
      </c>
      <c r="S23" s="6">
        <v>5977.25537109375</v>
      </c>
      <c r="T23" s="6"/>
      <c r="U23" s="6">
        <v>-132.2098388671875</v>
      </c>
      <c r="V23" s="6">
        <v>5892.4111328125</v>
      </c>
    </row>
    <row r="24" spans="2:22">
      <c r="B24" s="1">
        <v>19</v>
      </c>
      <c r="C24" s="6">
        <v>-91.941757202148438</v>
      </c>
      <c r="D24" s="6">
        <v>504.18447875976562</v>
      </c>
      <c r="E24" s="6"/>
      <c r="F24" s="6">
        <v>-92.083572387695312</v>
      </c>
      <c r="G24" s="6">
        <v>13485.5400390625</v>
      </c>
      <c r="H24" s="4">
        <f t="shared" si="0"/>
        <v>-18.683572387695321</v>
      </c>
      <c r="Q24" s="1">
        <v>19</v>
      </c>
      <c r="R24" s="6">
        <v>-55.810443878173828</v>
      </c>
      <c r="S24" s="6">
        <v>6020.400390625</v>
      </c>
      <c r="T24" s="6"/>
      <c r="U24" s="6">
        <v>-129.33877563476562</v>
      </c>
      <c r="V24" s="6">
        <v>6620.50537109375</v>
      </c>
    </row>
    <row r="25" spans="2:22">
      <c r="B25" s="1">
        <v>20</v>
      </c>
      <c r="C25" s="6">
        <v>-89.094841003417969</v>
      </c>
      <c r="D25" s="6">
        <v>591.92327880859375</v>
      </c>
      <c r="E25" s="6"/>
      <c r="F25" s="6">
        <v>-89.238365173339844</v>
      </c>
      <c r="G25" s="6">
        <v>18391.921875</v>
      </c>
      <c r="H25" s="4">
        <f t="shared" si="0"/>
        <v>-15.838365173339852</v>
      </c>
      <c r="Q25" s="1">
        <v>20</v>
      </c>
      <c r="R25" s="6">
        <v>-52.57769775390625</v>
      </c>
      <c r="S25" s="6">
        <v>7020.60791015625</v>
      </c>
      <c r="T25" s="6"/>
      <c r="U25" s="6">
        <v>-126.10797119140625</v>
      </c>
      <c r="V25" s="6">
        <v>6745.224609375</v>
      </c>
    </row>
    <row r="26" spans="2:22">
      <c r="B26" s="1">
        <v>21</v>
      </c>
      <c r="C26" s="6">
        <v>-85.704391479492188</v>
      </c>
      <c r="D26" s="6">
        <v>1194.7403564453125</v>
      </c>
      <c r="E26" s="6"/>
      <c r="F26" s="6">
        <v>-85.849960327148437</v>
      </c>
      <c r="G26" s="6">
        <v>27698.73046875</v>
      </c>
      <c r="H26" s="4">
        <f t="shared" si="0"/>
        <v>-12.449960327148446</v>
      </c>
      <c r="Q26" s="1">
        <v>21</v>
      </c>
      <c r="R26" s="6">
        <v>-49.716331481933594</v>
      </c>
      <c r="S26" s="6">
        <v>7915.1181640625</v>
      </c>
      <c r="T26" s="6"/>
      <c r="U26" s="6">
        <v>-123.24832916259766</v>
      </c>
      <c r="V26" s="6">
        <v>7419.50732421875</v>
      </c>
    </row>
    <row r="27" spans="2:22">
      <c r="B27" s="1">
        <v>22</v>
      </c>
      <c r="C27" s="6">
        <v>-82.848213195800781</v>
      </c>
      <c r="D27" s="6">
        <v>824.12530517578125</v>
      </c>
      <c r="E27" s="6"/>
      <c r="F27" s="6">
        <v>-82.995506286621094</v>
      </c>
      <c r="G27" s="6">
        <v>30000</v>
      </c>
      <c r="H27" s="4">
        <f t="shared" si="0"/>
        <v>-9.5955062866211023</v>
      </c>
      <c r="Q27" s="1">
        <v>22</v>
      </c>
      <c r="R27" s="6">
        <v>-46.874015808105469</v>
      </c>
      <c r="S27" s="6">
        <v>8418.806640625</v>
      </c>
      <c r="T27" s="6"/>
      <c r="U27" s="6">
        <v>-120.40773010253906</v>
      </c>
      <c r="V27" s="6">
        <v>8571.5791015625</v>
      </c>
    </row>
    <row r="28" spans="2:22" ht="15">
      <c r="B28" s="1">
        <v>23</v>
      </c>
      <c r="C28" s="6">
        <v>-79.998291015625</v>
      </c>
      <c r="D28" s="6">
        <v>1411.7291259765625</v>
      </c>
      <c r="E28" s="6"/>
      <c r="F28" s="6">
        <v>-80.147293090820313</v>
      </c>
      <c r="G28" s="6">
        <v>27181.48046875</v>
      </c>
      <c r="H28" s="4">
        <f t="shared" si="0"/>
        <v>-6.747293090820321</v>
      </c>
      <c r="O28" s="9"/>
      <c r="Q28" s="1">
        <v>23</v>
      </c>
      <c r="R28" s="6">
        <v>-43.864967346191406</v>
      </c>
      <c r="S28" s="6">
        <v>8741.9248046875</v>
      </c>
      <c r="T28" s="6"/>
      <c r="U28" s="6">
        <v>-117.40048980712891</v>
      </c>
      <c r="V28" s="6">
        <v>8926.2734375</v>
      </c>
    </row>
    <row r="29" spans="2:22">
      <c r="B29" s="1">
        <v>24</v>
      </c>
      <c r="C29" s="6">
        <v>-76.744590759277344</v>
      </c>
      <c r="D29" s="6">
        <v>2185.974609375</v>
      </c>
      <c r="E29" s="6"/>
      <c r="F29" s="6">
        <v>-76.895561218261719</v>
      </c>
      <c r="G29" s="6">
        <v>17606.69140625</v>
      </c>
      <c r="H29" s="4">
        <f t="shared" si="0"/>
        <v>-3.4955612182617273</v>
      </c>
      <c r="Q29" s="1">
        <v>24</v>
      </c>
      <c r="R29" s="6">
        <v>-40.635063171386719</v>
      </c>
      <c r="S29" s="6">
        <v>9427.5078125</v>
      </c>
      <c r="T29" s="6"/>
      <c r="U29" s="6">
        <v>-114.17253875732422</v>
      </c>
      <c r="V29" s="6">
        <v>9485.81640625</v>
      </c>
    </row>
    <row r="30" spans="2:22" ht="15">
      <c r="B30" s="1">
        <v>25</v>
      </c>
      <c r="C30" s="6">
        <v>-73.889984130859375</v>
      </c>
      <c r="D30" s="6">
        <v>2372.425537109375</v>
      </c>
      <c r="E30" s="6"/>
      <c r="F30" s="6">
        <v>-74.042678833007813</v>
      </c>
      <c r="G30" s="6">
        <v>14392.6162109375</v>
      </c>
      <c r="H30" s="4">
        <f t="shared" si="0"/>
        <v>-0.64267883300782103</v>
      </c>
      <c r="N30" s="9"/>
      <c r="Q30" s="1">
        <v>25</v>
      </c>
      <c r="R30" s="6">
        <v>-37.758438110351563</v>
      </c>
      <c r="S30" s="6">
        <v>10785.79296875</v>
      </c>
      <c r="T30" s="6"/>
      <c r="U30" s="6">
        <v>-111.29764556884766</v>
      </c>
      <c r="V30" s="6">
        <v>10801.2705078125</v>
      </c>
    </row>
    <row r="31" spans="2:22">
      <c r="B31" s="1">
        <v>26</v>
      </c>
      <c r="C31" s="6">
        <v>-71.038597106933594</v>
      </c>
      <c r="D31" s="6">
        <v>2900.12841796875</v>
      </c>
      <c r="E31" s="6"/>
      <c r="F31" s="6">
        <v>-71.193008422851563</v>
      </c>
      <c r="G31" s="6">
        <v>15544.783203125</v>
      </c>
      <c r="H31" s="4">
        <f t="shared" si="0"/>
        <v>2.206991577148429</v>
      </c>
      <c r="Q31" s="1">
        <v>26</v>
      </c>
      <c r="R31" s="6">
        <v>-34.521457672119141</v>
      </c>
      <c r="S31" s="6">
        <v>13277.9814453125</v>
      </c>
      <c r="T31" s="6"/>
      <c r="U31" s="6">
        <v>-108.06261444091797</v>
      </c>
      <c r="V31" s="6">
        <v>12467.04296875</v>
      </c>
    </row>
    <row r="32" spans="2:22">
      <c r="B32" s="1">
        <v>27</v>
      </c>
      <c r="C32" s="6">
        <v>-67.654838562011719</v>
      </c>
      <c r="D32" s="6">
        <v>3228.91455078125</v>
      </c>
      <c r="E32" s="6"/>
      <c r="F32" s="6">
        <v>-67.811286926269531</v>
      </c>
      <c r="G32" s="6">
        <v>15558.7080078125</v>
      </c>
      <c r="H32" s="4">
        <f t="shared" si="0"/>
        <v>5.5887130737304602</v>
      </c>
      <c r="Q32" s="1">
        <v>27</v>
      </c>
      <c r="R32" s="6">
        <v>-31.667316436767578</v>
      </c>
      <c r="S32" s="6">
        <v>13946.3369140625</v>
      </c>
      <c r="T32" s="6"/>
      <c r="U32" s="6">
        <v>-105.21018981933594</v>
      </c>
      <c r="V32" s="6">
        <v>14280.8486328125</v>
      </c>
    </row>
    <row r="33" spans="2:22">
      <c r="B33" s="1">
        <v>28</v>
      </c>
      <c r="C33" s="6">
        <v>-64.798553466796875</v>
      </c>
      <c r="D33" s="6">
        <v>3824.236328125</v>
      </c>
      <c r="E33" s="6"/>
      <c r="F33" s="6">
        <v>-64.956718444824219</v>
      </c>
      <c r="G33" s="6">
        <v>14307.7392578125</v>
      </c>
      <c r="H33" s="4">
        <f t="shared" si="0"/>
        <v>8.4432815551757727</v>
      </c>
      <c r="Q33" s="1">
        <v>28</v>
      </c>
      <c r="R33" s="6">
        <v>-28.670095443725586</v>
      </c>
      <c r="S33" s="6">
        <v>15369.724609375</v>
      </c>
      <c r="T33" s="6"/>
      <c r="U33" s="6">
        <v>-102.34759521484375</v>
      </c>
      <c r="V33" s="6">
        <v>14742.2841796875</v>
      </c>
    </row>
    <row r="34" spans="2:22">
      <c r="B34" s="1">
        <v>29</v>
      </c>
      <c r="C34" s="6">
        <v>-61.951160430908203</v>
      </c>
      <c r="D34" s="6">
        <v>4249.01953125</v>
      </c>
      <c r="E34" s="6"/>
      <c r="F34" s="6">
        <v>-62.111045837402344</v>
      </c>
      <c r="G34" s="6">
        <v>13343.3759765625</v>
      </c>
      <c r="H34" s="4">
        <f t="shared" si="0"/>
        <v>11.288954162597648</v>
      </c>
      <c r="Q34" s="1">
        <v>29</v>
      </c>
      <c r="R34" s="6">
        <v>-25.808725357055664</v>
      </c>
      <c r="S34" s="6">
        <v>15604.1318359375</v>
      </c>
      <c r="T34" s="6"/>
      <c r="U34" s="6">
        <v>-99.355125427246094</v>
      </c>
      <c r="V34" s="6">
        <v>14809.32421875</v>
      </c>
    </row>
    <row r="35" spans="2:22">
      <c r="B35" s="1">
        <v>30</v>
      </c>
      <c r="C35" s="6">
        <v>-59.094902038574219</v>
      </c>
      <c r="D35" s="6">
        <v>4483.41357421875</v>
      </c>
      <c r="E35" s="6"/>
      <c r="F35" s="6">
        <v>-59.256504058837891</v>
      </c>
      <c r="G35" s="6">
        <v>10517.1865234375</v>
      </c>
      <c r="H35" s="4">
        <f t="shared" si="0"/>
        <v>14.143495941162101</v>
      </c>
      <c r="Q35" s="1">
        <v>30</v>
      </c>
      <c r="R35" s="6">
        <v>-22.579305648803711</v>
      </c>
      <c r="S35" s="6">
        <v>14588.986328125</v>
      </c>
      <c r="T35" s="6"/>
      <c r="U35" s="6">
        <v>-96.127655029296875</v>
      </c>
      <c r="V35" s="6">
        <v>15197.4072265625</v>
      </c>
    </row>
    <row r="36" spans="2:22">
      <c r="B36" s="1">
        <v>31</v>
      </c>
      <c r="C36" s="6">
        <v>-55.833740234375</v>
      </c>
      <c r="D36" s="6">
        <v>5032.443359375</v>
      </c>
      <c r="E36" s="6"/>
      <c r="F36" s="6">
        <v>-55.997310638427734</v>
      </c>
      <c r="G36" s="6">
        <v>9694.4169921875</v>
      </c>
      <c r="H36" s="4">
        <f t="shared" si="0"/>
        <v>17.402689361572257</v>
      </c>
      <c r="Q36" s="1">
        <v>31</v>
      </c>
      <c r="R36" s="6">
        <v>-19.716800689697266</v>
      </c>
      <c r="S36" s="6">
        <v>13653.318359375</v>
      </c>
      <c r="T36" s="6"/>
      <c r="U36" s="6">
        <v>-93.266876220703125</v>
      </c>
      <c r="V36" s="6">
        <v>13815.701171875</v>
      </c>
    </row>
    <row r="37" spans="2:22">
      <c r="B37" s="1">
        <v>32</v>
      </c>
      <c r="C37" s="6">
        <v>-52.976650238037109</v>
      </c>
      <c r="D37" s="6">
        <v>6039.98681640625</v>
      </c>
      <c r="E37" s="6"/>
      <c r="F37" s="6">
        <v>-53.141941070556641</v>
      </c>
      <c r="G37" s="6">
        <v>9366.8681640625</v>
      </c>
      <c r="H37" s="4">
        <f t="shared" si="0"/>
        <v>20.258058929443351</v>
      </c>
      <c r="Q37" s="1">
        <v>32</v>
      </c>
      <c r="R37" s="6">
        <v>-16.848855972290039</v>
      </c>
      <c r="S37" s="6">
        <v>16470.044921875</v>
      </c>
      <c r="T37" s="6"/>
      <c r="U37" s="6">
        <v>-90.400657653808594</v>
      </c>
      <c r="V37" s="6">
        <v>15755.8818359375</v>
      </c>
    </row>
    <row r="38" spans="2:22">
      <c r="B38" s="1">
        <v>33</v>
      </c>
      <c r="C38" s="6">
        <v>-49.99835205078125</v>
      </c>
      <c r="D38" s="6">
        <v>6584.77685546875</v>
      </c>
      <c r="E38" s="6"/>
      <c r="F38" s="6">
        <v>-50.165439605712891</v>
      </c>
      <c r="G38" s="6">
        <v>8168.07177734375</v>
      </c>
      <c r="H38" s="4">
        <f t="shared" si="0"/>
        <v>23.234560394287101</v>
      </c>
      <c r="Q38" s="1">
        <v>33</v>
      </c>
      <c r="R38" s="6">
        <v>-14.010852813720703</v>
      </c>
      <c r="S38" s="6">
        <v>23955.556640625</v>
      </c>
      <c r="T38" s="6"/>
      <c r="U38" s="6">
        <v>-87.564361572265625</v>
      </c>
      <c r="V38" s="6">
        <v>21521.669921875</v>
      </c>
    </row>
    <row r="39" spans="2:22">
      <c r="B39" s="1">
        <v>34</v>
      </c>
      <c r="C39" s="6">
        <v>-46.745975494384766</v>
      </c>
      <c r="D39" s="6">
        <v>7517.87353515625</v>
      </c>
      <c r="E39" s="6"/>
      <c r="F39" s="6">
        <v>-46.915023803710937</v>
      </c>
      <c r="G39" s="6">
        <v>7421.7373046875</v>
      </c>
      <c r="H39" s="4">
        <f t="shared" si="0"/>
        <v>26.484976196289054</v>
      </c>
      <c r="Q39" s="1">
        <v>34</v>
      </c>
      <c r="R39" s="6">
        <v>-10.613855361938477</v>
      </c>
      <c r="S39" s="6">
        <v>30000</v>
      </c>
      <c r="T39" s="6"/>
      <c r="U39" s="6">
        <v>-84.169418334960937</v>
      </c>
      <c r="V39" s="6">
        <v>28796.08203125</v>
      </c>
    </row>
    <row r="40" spans="2:22">
      <c r="B40" s="1">
        <v>35</v>
      </c>
      <c r="C40" s="6">
        <v>-43.887153625488281</v>
      </c>
      <c r="D40" s="6">
        <v>7961.66455078125</v>
      </c>
      <c r="E40" s="6"/>
      <c r="F40" s="6">
        <v>-44.05792236328125</v>
      </c>
      <c r="G40" s="6">
        <v>6800.28076171875</v>
      </c>
      <c r="H40" s="4">
        <f t="shared" si="0"/>
        <v>29.342077636718741</v>
      </c>
      <c r="Q40" s="1">
        <v>35</v>
      </c>
      <c r="R40" s="6">
        <v>-7.7684593200683594</v>
      </c>
      <c r="S40" s="6">
        <v>29570.3125</v>
      </c>
      <c r="T40" s="6"/>
      <c r="U40" s="6">
        <v>-81.325736999511719</v>
      </c>
      <c r="V40" s="6">
        <v>29968.158203125</v>
      </c>
    </row>
    <row r="41" spans="2:22">
      <c r="B41" s="1">
        <v>36</v>
      </c>
      <c r="C41" s="6">
        <v>-41.038661956787109</v>
      </c>
      <c r="D41" s="6">
        <v>8764.4150390625</v>
      </c>
      <c r="E41" s="6"/>
      <c r="F41" s="6">
        <v>-41.211147308349609</v>
      </c>
      <c r="G41" s="6">
        <v>5729.72265625</v>
      </c>
      <c r="H41" s="4">
        <f t="shared" si="0"/>
        <v>32.188852691650382</v>
      </c>
      <c r="Q41" s="1">
        <v>36</v>
      </c>
      <c r="R41" s="6">
        <v>-4.5263934135437012</v>
      </c>
      <c r="S41" s="6">
        <v>19513.81640625</v>
      </c>
      <c r="T41" s="6"/>
      <c r="U41" s="6">
        <v>-78.085624694824219</v>
      </c>
      <c r="V41" s="6">
        <v>22343.044921875</v>
      </c>
    </row>
    <row r="42" spans="2:22">
      <c r="B42" s="1">
        <v>37</v>
      </c>
      <c r="C42" s="6">
        <v>-37.780727386474609</v>
      </c>
      <c r="D42" s="6">
        <v>10068.03125</v>
      </c>
      <c r="E42" s="6"/>
      <c r="F42" s="6">
        <v>-37.955181121826172</v>
      </c>
      <c r="G42" s="6">
        <v>5163.9365234375</v>
      </c>
      <c r="H42" s="4">
        <f t="shared" si="0"/>
        <v>35.44481887817382</v>
      </c>
      <c r="Q42" s="1">
        <v>37</v>
      </c>
      <c r="R42" s="6">
        <v>-1.6687005758285522</v>
      </c>
      <c r="S42" s="6">
        <v>12151.181640625</v>
      </c>
      <c r="T42" s="6"/>
      <c r="U42" s="6">
        <v>-75.229652404785156</v>
      </c>
      <c r="V42" s="6">
        <v>15989.1982421875</v>
      </c>
    </row>
    <row r="43" spans="2:22">
      <c r="B43" s="1">
        <v>38</v>
      </c>
      <c r="C43" s="6">
        <v>-34.7957763671875</v>
      </c>
      <c r="D43" s="6">
        <v>11820.4560546875</v>
      </c>
      <c r="E43" s="6"/>
      <c r="F43" s="6">
        <v>-34.972023010253906</v>
      </c>
      <c r="G43" s="6">
        <v>4388.6875</v>
      </c>
      <c r="H43" s="4">
        <f t="shared" si="0"/>
        <v>38.427976989746085</v>
      </c>
      <c r="Q43" s="1">
        <v>38</v>
      </c>
      <c r="R43" s="6">
        <v>1.1963492631912231</v>
      </c>
      <c r="S43" s="6">
        <v>15175.9140625</v>
      </c>
      <c r="T43" s="6"/>
      <c r="U43" s="6">
        <v>-72.3663330078125</v>
      </c>
      <c r="V43" s="6">
        <v>14571.2255859375</v>
      </c>
    </row>
    <row r="44" spans="2:22">
      <c r="B44" s="1">
        <v>39</v>
      </c>
      <c r="C44" s="6">
        <v>-31.942111968994141</v>
      </c>
      <c r="D44" s="6">
        <v>13247.6220703125</v>
      </c>
      <c r="E44" s="6"/>
      <c r="F44" s="6">
        <v>-32.120079040527344</v>
      </c>
      <c r="G44" s="6">
        <v>4235.3876953125</v>
      </c>
      <c r="H44" s="4">
        <f t="shared" si="0"/>
        <v>41.279920959472648</v>
      </c>
      <c r="Q44" s="1">
        <v>39</v>
      </c>
      <c r="R44" s="6">
        <v>4.0397491455078125</v>
      </c>
      <c r="S44" s="6">
        <v>15779.810546875</v>
      </c>
      <c r="T44" s="6"/>
      <c r="U44" s="6">
        <v>-69.524642944335938</v>
      </c>
      <c r="V44" s="6">
        <v>15932.6640625</v>
      </c>
    </row>
    <row r="45" spans="2:22">
      <c r="B45" s="1">
        <v>40</v>
      </c>
      <c r="C45" s="6">
        <v>-29.07142448425293</v>
      </c>
      <c r="D45" s="6">
        <v>14252.4814453125</v>
      </c>
      <c r="E45" s="6"/>
      <c r="F45" s="6">
        <v>-29.251121520996094</v>
      </c>
      <c r="G45" s="6">
        <v>3810.808837890625</v>
      </c>
      <c r="H45" s="4">
        <f t="shared" si="0"/>
        <v>44.148878479003898</v>
      </c>
      <c r="Q45" s="1">
        <v>40</v>
      </c>
      <c r="R45" s="6">
        <v>7.4302005767822266</v>
      </c>
      <c r="S45" s="6">
        <v>14801.4326171875</v>
      </c>
      <c r="T45" s="6"/>
      <c r="U45" s="6">
        <v>-66.13623046875</v>
      </c>
      <c r="V45" s="6">
        <v>15160.4287109375</v>
      </c>
    </row>
    <row r="46" spans="2:22">
      <c r="B46" s="1">
        <v>41</v>
      </c>
      <c r="C46" s="6">
        <v>-25.838678359985352</v>
      </c>
      <c r="D46" s="6">
        <v>14286.1474609375</v>
      </c>
      <c r="E46" s="6"/>
      <c r="F46" s="6">
        <v>-26.020322799682617</v>
      </c>
      <c r="G46" s="6">
        <v>3414.450439453125</v>
      </c>
      <c r="H46" s="4">
        <f t="shared" si="0"/>
        <v>47.379677200317374</v>
      </c>
      <c r="Q46" s="1">
        <v>41</v>
      </c>
      <c r="R46" s="6">
        <v>10.282918930053711</v>
      </c>
      <c r="S46" s="6">
        <v>13908.052734375</v>
      </c>
      <c r="T46" s="6"/>
      <c r="U46" s="6">
        <v>-63.285236358642578</v>
      </c>
      <c r="V46" s="6">
        <v>14340.2607421875</v>
      </c>
    </row>
    <row r="47" spans="2:22">
      <c r="B47" s="1">
        <v>42</v>
      </c>
      <c r="C47" s="6">
        <v>-22.981584548950195</v>
      </c>
      <c r="D47" s="6">
        <v>14386.3046875</v>
      </c>
      <c r="E47" s="6"/>
      <c r="F47" s="6">
        <v>-23.164953231811523</v>
      </c>
      <c r="G47" s="6">
        <v>3594.984375</v>
      </c>
      <c r="H47" s="4">
        <f t="shared" si="0"/>
        <v>50.235046768188468</v>
      </c>
      <c r="Q47" s="1">
        <v>42</v>
      </c>
      <c r="R47" s="6">
        <v>13.140551567077637</v>
      </c>
      <c r="S47" s="6">
        <v>11349.2578125</v>
      </c>
      <c r="T47" s="6"/>
      <c r="U47" s="6">
        <v>-60.429325103759766</v>
      </c>
      <c r="V47" s="6">
        <v>12217.015625</v>
      </c>
    </row>
    <row r="48" spans="2:22">
      <c r="B48" s="1">
        <v>43</v>
      </c>
      <c r="C48" s="6">
        <v>-19.600013732910156</v>
      </c>
      <c r="D48" s="6">
        <v>13123.7080078125</v>
      </c>
      <c r="E48" s="6"/>
      <c r="F48" s="6">
        <v>-19.785421371459961</v>
      </c>
      <c r="G48" s="6">
        <v>3045.587890625</v>
      </c>
      <c r="H48" s="4">
        <f t="shared" si="0"/>
        <v>53.614578628540031</v>
      </c>
      <c r="Q48" s="1">
        <v>43</v>
      </c>
      <c r="R48" s="6">
        <v>16.395030975341797</v>
      </c>
      <c r="S48" s="6">
        <v>9843.0673828125</v>
      </c>
      <c r="T48" s="6"/>
      <c r="U48" s="6">
        <v>-57.176807403564453</v>
      </c>
      <c r="V48" s="6">
        <v>10575.4580078125</v>
      </c>
    </row>
    <row r="49" spans="2:22">
      <c r="B49" s="1">
        <v>44</v>
      </c>
      <c r="C49" s="6">
        <v>-16.739532470703125</v>
      </c>
      <c r="D49" s="6">
        <v>15688.9521484375</v>
      </c>
      <c r="E49" s="6"/>
      <c r="F49" s="6">
        <v>-16.926662445068359</v>
      </c>
      <c r="G49" s="6">
        <v>2263.51513671875</v>
      </c>
      <c r="H49" s="4">
        <f t="shared" si="0"/>
        <v>56.473337554931632</v>
      </c>
      <c r="Q49" s="1">
        <v>44</v>
      </c>
      <c r="R49" s="6">
        <v>19.248311996459961</v>
      </c>
      <c r="S49" s="6">
        <v>9112.4814453125</v>
      </c>
      <c r="T49" s="6"/>
      <c r="U49" s="6">
        <v>-54.325248718261719</v>
      </c>
      <c r="V49" s="6">
        <v>9661.2978515625</v>
      </c>
    </row>
    <row r="50" spans="2:22">
      <c r="B50" s="1">
        <v>45</v>
      </c>
      <c r="C50" s="6">
        <v>-13.892086029052734</v>
      </c>
      <c r="D50" s="6">
        <v>20883.9296875</v>
      </c>
      <c r="E50" s="6"/>
      <c r="F50" s="6">
        <v>-14.0809326171875</v>
      </c>
      <c r="G50" s="6">
        <v>1524.249755859375</v>
      </c>
      <c r="H50" s="4">
        <f t="shared" si="0"/>
        <v>59.319067382812491</v>
      </c>
      <c r="Q50" s="1">
        <v>45</v>
      </c>
      <c r="R50" s="6">
        <v>22.113960266113281</v>
      </c>
      <c r="S50" s="6">
        <v>9091.990234375</v>
      </c>
      <c r="T50" s="6"/>
      <c r="U50" s="6">
        <v>-51.461322784423828</v>
      </c>
      <c r="V50" s="6">
        <v>9182.44140625</v>
      </c>
    </row>
    <row r="51" spans="2:22">
      <c r="B51" s="1">
        <v>46</v>
      </c>
      <c r="C51" s="6">
        <v>-11.01518440246582</v>
      </c>
      <c r="D51" s="6">
        <v>28848.455078125</v>
      </c>
      <c r="E51" s="6"/>
      <c r="F51" s="6">
        <v>-11.205761909484863</v>
      </c>
      <c r="G51" s="6">
        <v>1057.6954345703125</v>
      </c>
      <c r="H51" s="4">
        <f t="shared" si="0"/>
        <v>62.194238090515128</v>
      </c>
      <c r="Q51" s="1">
        <v>46</v>
      </c>
      <c r="R51" s="6">
        <v>25.478982925415039</v>
      </c>
      <c r="S51" s="6">
        <v>8112.2734375</v>
      </c>
      <c r="T51" s="6"/>
      <c r="U51" s="6">
        <v>-48.09832763671875</v>
      </c>
      <c r="V51" s="6">
        <v>7835.98046875</v>
      </c>
    </row>
    <row r="52" spans="2:22">
      <c r="B52" s="1">
        <v>47</v>
      </c>
      <c r="C52" s="6">
        <v>-7.7824368476867676</v>
      </c>
      <c r="D52" s="6">
        <v>28757.951171875</v>
      </c>
      <c r="E52" s="6"/>
      <c r="F52" s="6">
        <v>-7.9749641418457031</v>
      </c>
      <c r="G52" s="6">
        <v>1195.344970703125</v>
      </c>
      <c r="H52" s="4">
        <f t="shared" si="0"/>
        <v>65.425035858154288</v>
      </c>
      <c r="Q52" s="1">
        <v>47</v>
      </c>
      <c r="R52" s="6">
        <v>28.341911315917969</v>
      </c>
      <c r="S52" s="6">
        <v>7427.30224609375</v>
      </c>
      <c r="T52" s="6"/>
      <c r="U52" s="6">
        <v>-45.23712158203125</v>
      </c>
      <c r="V52" s="6">
        <v>7964.61474609375</v>
      </c>
    </row>
    <row r="53" spans="2:22">
      <c r="B53" s="1">
        <v>48</v>
      </c>
      <c r="C53" s="6">
        <v>-4.9294519424438477</v>
      </c>
      <c r="D53" s="6">
        <v>19967.875</v>
      </c>
      <c r="E53" s="6"/>
      <c r="F53" s="6">
        <v>-5.1236987113952637</v>
      </c>
      <c r="G53" s="6">
        <v>637.84588623046875</v>
      </c>
      <c r="H53" s="4">
        <f t="shared" si="0"/>
        <v>68.276301288604728</v>
      </c>
      <c r="Q53" s="1">
        <v>48</v>
      </c>
      <c r="R53" s="6">
        <v>31.186302185058594</v>
      </c>
      <c r="S53" s="6">
        <v>6774.36669921875</v>
      </c>
      <c r="T53" s="6"/>
      <c r="U53" s="6">
        <v>-42.394447326660156</v>
      </c>
      <c r="V53" s="6">
        <v>6393.625</v>
      </c>
    </row>
    <row r="54" spans="2:22">
      <c r="B54" s="1">
        <v>49</v>
      </c>
      <c r="C54" s="6">
        <v>-2.0648081302642822</v>
      </c>
      <c r="D54" s="6">
        <v>14868.462890625</v>
      </c>
      <c r="E54" s="6"/>
      <c r="F54" s="6">
        <v>-2.2607808113098145</v>
      </c>
      <c r="G54" s="6">
        <v>799.895263671875</v>
      </c>
      <c r="H54" s="4">
        <f t="shared" si="0"/>
        <v>71.139219188690177</v>
      </c>
      <c r="Q54" s="1">
        <v>49</v>
      </c>
      <c r="R54" s="6">
        <v>34.447460174560547</v>
      </c>
      <c r="S54" s="6">
        <v>6349.7666015625</v>
      </c>
      <c r="T54" s="6"/>
      <c r="U54" s="6">
        <v>-39.135257720947266</v>
      </c>
      <c r="V54" s="6">
        <v>6491.15966796875</v>
      </c>
    </row>
    <row r="55" spans="2:22">
      <c r="B55" s="1">
        <v>50</v>
      </c>
      <c r="C55" s="6">
        <v>0.91734552383422852</v>
      </c>
      <c r="D55" s="6">
        <v>14425.560546875</v>
      </c>
      <c r="E55" s="6"/>
      <c r="F55" s="6">
        <v>0.71957570314407349</v>
      </c>
      <c r="G55" s="6">
        <v>235.69552612304687</v>
      </c>
      <c r="H55" s="4">
        <f t="shared" si="0"/>
        <v>74.119575703144065</v>
      </c>
      <c r="Q55" s="1">
        <v>50</v>
      </c>
      <c r="R55" s="6">
        <v>37.305149078369141</v>
      </c>
      <c r="S55" s="6">
        <v>5441.56298828125</v>
      </c>
      <c r="T55" s="6"/>
      <c r="U55" s="6">
        <v>-36.279285430908203</v>
      </c>
      <c r="V55" s="6">
        <v>5515.76220703125</v>
      </c>
    </row>
    <row r="56" spans="2:22">
      <c r="B56" s="1">
        <v>51</v>
      </c>
      <c r="C56" s="6">
        <v>4.1725168228149414</v>
      </c>
      <c r="D56" s="6">
        <v>15616.87109375</v>
      </c>
      <c r="E56" s="6"/>
      <c r="F56" s="6">
        <v>3.972785472869873</v>
      </c>
      <c r="G56" s="6">
        <v>361.19134521484375</v>
      </c>
      <c r="H56" s="4">
        <f t="shared" si="0"/>
        <v>77.372785472869865</v>
      </c>
      <c r="Q56" s="1">
        <v>51</v>
      </c>
      <c r="R56" s="6">
        <v>40.287929534912109</v>
      </c>
      <c r="S56" s="6">
        <v>5401.00244140625</v>
      </c>
      <c r="T56" s="6"/>
      <c r="U56" s="6">
        <v>-33.298305511474609</v>
      </c>
      <c r="V56" s="6">
        <v>4910.25244140625</v>
      </c>
    </row>
    <row r="57" spans="2:22">
      <c r="B57" s="1">
        <v>52</v>
      </c>
      <c r="C57" s="6">
        <v>7.03173828125</v>
      </c>
      <c r="D57" s="6">
        <v>14236.044921875</v>
      </c>
      <c r="E57" s="6"/>
      <c r="F57" s="6">
        <v>6.8302836418151855</v>
      </c>
      <c r="G57" s="6">
        <v>798.61676025390625</v>
      </c>
      <c r="H57" s="4">
        <f t="shared" si="0"/>
        <v>80.230283641815177</v>
      </c>
      <c r="Q57" s="1">
        <v>52</v>
      </c>
      <c r="R57" s="6">
        <v>43.153537750244141</v>
      </c>
      <c r="S57" s="6">
        <v>5004.65869140625</v>
      </c>
      <c r="T57" s="6"/>
      <c r="U57" s="6">
        <v>-30.434423446655273</v>
      </c>
      <c r="V57" s="6">
        <v>4462.38623046875</v>
      </c>
    </row>
    <row r="58" spans="2:22">
      <c r="B58" s="1">
        <v>53</v>
      </c>
      <c r="C58" s="6">
        <v>10.270577430725098</v>
      </c>
      <c r="D58" s="6">
        <v>13248.0029296875</v>
      </c>
      <c r="E58" s="6"/>
      <c r="F58" s="6">
        <v>10.067171096801758</v>
      </c>
      <c r="G58" s="6">
        <v>1035.267333984375</v>
      </c>
      <c r="H58" s="4">
        <f t="shared" si="0"/>
        <v>83.467171096801749</v>
      </c>
      <c r="Q58" s="1">
        <v>53</v>
      </c>
      <c r="R58" s="6">
        <v>46.386280059814453</v>
      </c>
      <c r="S58" s="6">
        <v>3726.593017578125</v>
      </c>
      <c r="T58" s="6"/>
      <c r="U58" s="6">
        <v>-27.20362663269043</v>
      </c>
      <c r="V58" s="6">
        <v>3866.948486328125</v>
      </c>
    </row>
    <row r="59" spans="2:22">
      <c r="B59" s="1">
        <v>54</v>
      </c>
      <c r="C59" s="6">
        <v>13.124513626098633</v>
      </c>
      <c r="D59" s="6">
        <v>10698.130859375</v>
      </c>
      <c r="E59" s="6"/>
      <c r="F59" s="6">
        <v>12.919386863708496</v>
      </c>
      <c r="G59" s="6">
        <v>1064.7196044921875</v>
      </c>
      <c r="H59" s="4">
        <f t="shared" si="0"/>
        <v>86.319386863708488</v>
      </c>
      <c r="Q59" s="1">
        <v>54</v>
      </c>
      <c r="R59" s="6">
        <v>49.243377685546875</v>
      </c>
      <c r="S59" s="6">
        <v>3319.07568359375</v>
      </c>
      <c r="T59" s="6"/>
      <c r="U59" s="6">
        <v>-24.348255157470703</v>
      </c>
      <c r="V59" s="6">
        <v>3556.349365234375</v>
      </c>
    </row>
    <row r="60" spans="2:22">
      <c r="B60" s="1">
        <v>55</v>
      </c>
      <c r="C60" s="6">
        <v>16.12037467956543</v>
      </c>
      <c r="D60" s="6">
        <v>9616.490234375</v>
      </c>
      <c r="E60" s="6"/>
      <c r="F60" s="6">
        <v>15.913443565368652</v>
      </c>
      <c r="G60" s="6">
        <v>363.28628540039062</v>
      </c>
      <c r="H60" s="4">
        <f t="shared" si="0"/>
        <v>89.313443565368644</v>
      </c>
      <c r="Q60" s="1">
        <v>55</v>
      </c>
      <c r="R60" s="6">
        <v>52.109027862548828</v>
      </c>
      <c r="S60" s="6">
        <v>3329.19970703125</v>
      </c>
      <c r="T60" s="6"/>
      <c r="U60" s="6">
        <v>-21.484331130981445</v>
      </c>
      <c r="V60" s="6">
        <v>3526.070556640625</v>
      </c>
    </row>
    <row r="61" spans="2:22">
      <c r="B61" s="1">
        <v>56</v>
      </c>
      <c r="C61" s="6">
        <v>18.97358512878418</v>
      </c>
      <c r="D61" s="6">
        <v>9067.189453125</v>
      </c>
      <c r="E61" s="6"/>
      <c r="F61" s="6">
        <v>18.764936447143555</v>
      </c>
      <c r="G61" s="6">
        <v>473.03927612304687</v>
      </c>
      <c r="H61" s="4">
        <f t="shared" si="0"/>
        <v>92.164936447143546</v>
      </c>
      <c r="Q61" s="1">
        <v>56</v>
      </c>
      <c r="R61" s="6">
        <v>55.477718353271484</v>
      </c>
      <c r="S61" s="6">
        <v>3314.683349609375</v>
      </c>
      <c r="T61" s="6"/>
      <c r="U61" s="6">
        <v>-18.244218826293945</v>
      </c>
      <c r="V61" s="6">
        <v>2551.6630859375</v>
      </c>
    </row>
    <row r="62" spans="2:22">
      <c r="B62" s="1">
        <v>57</v>
      </c>
      <c r="C62" s="6">
        <v>22.222942352294922</v>
      </c>
      <c r="D62" s="6">
        <v>8227.4853515625</v>
      </c>
      <c r="E62" s="6"/>
      <c r="F62" s="6">
        <v>22.012331008911133</v>
      </c>
      <c r="G62" s="6">
        <v>2009.2115478515625</v>
      </c>
      <c r="H62" s="4">
        <f t="shared" si="0"/>
        <v>95.412331008911124</v>
      </c>
      <c r="Q62" s="1">
        <v>57</v>
      </c>
      <c r="R62" s="6">
        <v>58.336978912353516</v>
      </c>
      <c r="S62" s="6">
        <v>2389.57470703125</v>
      </c>
      <c r="T62" s="6"/>
      <c r="U62" s="6">
        <v>-15.260133743286133</v>
      </c>
      <c r="V62" s="6">
        <v>2815.645751953125</v>
      </c>
    </row>
    <row r="63" spans="2:22">
      <c r="B63" s="1">
        <v>58</v>
      </c>
      <c r="C63" s="6">
        <v>25.087976455688477</v>
      </c>
      <c r="D63" s="6">
        <v>7200.47314453125</v>
      </c>
      <c r="E63" s="6"/>
      <c r="F63" s="6">
        <v>24.875642776489258</v>
      </c>
      <c r="G63" s="6">
        <v>1860.1015625</v>
      </c>
      <c r="H63" s="4">
        <f t="shared" si="0"/>
        <v>98.275642776489249</v>
      </c>
      <c r="Q63" s="1">
        <v>58</v>
      </c>
      <c r="R63" s="6">
        <v>61.20977783203125</v>
      </c>
      <c r="S63" s="6">
        <v>2445.120361328125</v>
      </c>
      <c r="T63" s="6"/>
      <c r="U63" s="6">
        <v>-12.389065742492676</v>
      </c>
      <c r="V63" s="6">
        <v>1755.755859375</v>
      </c>
    </row>
    <row r="64" spans="2:22">
      <c r="B64" s="1">
        <v>59</v>
      </c>
      <c r="C64" s="6">
        <v>27.930257797241211</v>
      </c>
      <c r="D64" s="6">
        <v>6673.1669921875</v>
      </c>
      <c r="E64" s="6"/>
      <c r="F64" s="6">
        <v>27.716211318969727</v>
      </c>
      <c r="G64" s="6">
        <v>2188.1435546875</v>
      </c>
      <c r="H64" s="4">
        <f t="shared" si="0"/>
        <v>101.11621131896972</v>
      </c>
      <c r="Q64" s="1">
        <v>59</v>
      </c>
      <c r="R64" s="6">
        <v>64.439300537109375</v>
      </c>
      <c r="S64" s="6">
        <v>848.58819580078125</v>
      </c>
      <c r="T64" s="6"/>
      <c r="U64" s="6">
        <v>-9.1614894866943359</v>
      </c>
      <c r="V64" s="6">
        <v>1385.295654296875</v>
      </c>
    </row>
    <row r="65" spans="2:22">
      <c r="B65" s="1">
        <v>60</v>
      </c>
      <c r="C65" s="6">
        <v>31.188190460205078</v>
      </c>
      <c r="D65" s="6">
        <v>6326.8486328125</v>
      </c>
      <c r="E65" s="6"/>
      <c r="F65" s="6">
        <v>30.972179412841797</v>
      </c>
      <c r="G65" s="6">
        <v>2837.48095703125</v>
      </c>
      <c r="H65" s="4">
        <f t="shared" si="0"/>
        <v>104.37217941284179</v>
      </c>
      <c r="Q65" s="1">
        <v>60</v>
      </c>
      <c r="R65" s="6">
        <v>67.30389404296875</v>
      </c>
      <c r="S65" s="6">
        <v>634.85064697265625</v>
      </c>
      <c r="T65" s="6"/>
      <c r="U65" s="6">
        <v>-6.298619270324707</v>
      </c>
      <c r="V65" s="6">
        <v>1245.3365478515625</v>
      </c>
    </row>
    <row r="66" spans="2:22">
      <c r="B66" s="1">
        <v>61</v>
      </c>
      <c r="C66" s="6">
        <v>34.181404113769531</v>
      </c>
      <c r="D66" s="6">
        <v>5162.8369140625</v>
      </c>
      <c r="E66" s="6"/>
      <c r="F66" s="6">
        <v>33.963592529296875</v>
      </c>
      <c r="G66" s="6">
        <v>2981.538330078125</v>
      </c>
      <c r="H66" s="4">
        <f t="shared" si="0"/>
        <v>107.36359252929687</v>
      </c>
      <c r="Q66" s="1">
        <v>61</v>
      </c>
      <c r="R66" s="6">
        <v>70.150634765625</v>
      </c>
      <c r="S66" s="6">
        <v>1008.0396118164062</v>
      </c>
      <c r="T66" s="6"/>
      <c r="U66" s="6">
        <v>-3.4535913467407227</v>
      </c>
      <c r="V66" s="6">
        <v>1293.40771484375</v>
      </c>
    </row>
    <row r="67" spans="2:22">
      <c r="B67" s="1">
        <v>62</v>
      </c>
      <c r="C67" s="6">
        <v>37.026805877685547</v>
      </c>
      <c r="D67" s="6">
        <v>4514.458984375</v>
      </c>
      <c r="E67" s="6"/>
      <c r="F67" s="6">
        <v>36.807277679443359</v>
      </c>
      <c r="G67" s="6">
        <v>3000.685302734375</v>
      </c>
      <c r="H67" s="4">
        <f t="shared" si="0"/>
        <v>110.20727767944335</v>
      </c>
      <c r="Q67" s="1">
        <v>62</v>
      </c>
      <c r="R67" s="6">
        <v>73.0086669921875</v>
      </c>
      <c r="S67" s="6">
        <v>547.78619384765625</v>
      </c>
      <c r="T67" s="6"/>
      <c r="U67" s="6">
        <v>-0.5972859263420105</v>
      </c>
      <c r="V67" s="6">
        <v>1542.3668212890625</v>
      </c>
    </row>
    <row r="68" spans="2:22">
      <c r="B68" s="1">
        <v>63</v>
      </c>
      <c r="C68" s="6">
        <v>40.279182434082031</v>
      </c>
      <c r="D68" s="6">
        <v>4992.1708984375</v>
      </c>
      <c r="E68" s="6"/>
      <c r="F68" s="6">
        <v>40.057689666748047</v>
      </c>
      <c r="G68" s="6">
        <v>4206.3359375</v>
      </c>
      <c r="H68" s="4">
        <f t="shared" si="0"/>
        <v>113.45768966674804</v>
      </c>
      <c r="Q68" s="1">
        <v>63</v>
      </c>
      <c r="R68" s="6">
        <v>76.401908874511719</v>
      </c>
      <c r="S68" s="6">
        <v>453.66543579101563</v>
      </c>
      <c r="T68" s="6"/>
      <c r="U68" s="6">
        <v>2.7939081192016602</v>
      </c>
      <c r="V68" s="6">
        <v>564.94244384765625</v>
      </c>
    </row>
    <row r="69" spans="2:22">
      <c r="B69" s="1">
        <v>64</v>
      </c>
      <c r="C69" s="6">
        <v>43.138004302978516</v>
      </c>
      <c r="D69" s="6">
        <v>3801.495849609375</v>
      </c>
      <c r="E69" s="6"/>
      <c r="F69" s="6">
        <v>42.914794921875</v>
      </c>
      <c r="G69" s="6">
        <v>4826.8056640625</v>
      </c>
      <c r="H69" s="4">
        <f t="shared" si="0"/>
        <v>116.31479492187499</v>
      </c>
      <c r="Q69" s="1">
        <v>64</v>
      </c>
      <c r="R69" s="6">
        <v>79.26177978515625</v>
      </c>
      <c r="S69" s="6">
        <v>922.47674560546875</v>
      </c>
      <c r="T69" s="6"/>
      <c r="U69" s="6">
        <v>5.6520609855651855</v>
      </c>
      <c r="V69" s="6">
        <v>898.98162841796875</v>
      </c>
    </row>
    <row r="70" spans="2:22">
      <c r="B70" s="1">
        <v>65</v>
      </c>
      <c r="C70" s="6">
        <v>45.983226776123047</v>
      </c>
      <c r="D70" s="6">
        <v>2594.464111328125</v>
      </c>
      <c r="E70" s="6"/>
      <c r="F70" s="6">
        <v>45.758296966552734</v>
      </c>
      <c r="G70" s="6">
        <v>4471.283203125</v>
      </c>
      <c r="H70" s="4">
        <f t="shared" si="0"/>
        <v>119.15829696655273</v>
      </c>
      <c r="Q70" s="1">
        <v>65</v>
      </c>
      <c r="R70" s="6">
        <v>82.109466552734375</v>
      </c>
      <c r="S70" s="6">
        <v>1090.5345458984375</v>
      </c>
      <c r="T70" s="6"/>
      <c r="U70" s="6">
        <v>8.4980306625366211</v>
      </c>
      <c r="V70" s="6">
        <v>965.4490966796875</v>
      </c>
    </row>
    <row r="71" spans="2:22">
      <c r="B71" s="1">
        <v>66</v>
      </c>
      <c r="C71" s="6">
        <v>49.368904113769531</v>
      </c>
      <c r="D71" s="6">
        <v>2844.357177734375</v>
      </c>
      <c r="E71" s="6"/>
      <c r="F71" s="6">
        <v>49.141937255859375</v>
      </c>
      <c r="G71" s="6">
        <v>5239.26171875</v>
      </c>
      <c r="H71" s="4">
        <f t="shared" ref="H71:H125" si="1">F71+H$4</f>
        <v>122.54193725585937</v>
      </c>
      <c r="Q71" s="1">
        <v>66</v>
      </c>
      <c r="R71" s="6">
        <v>85.349472045898437</v>
      </c>
      <c r="S71" s="6">
        <v>464.9844970703125</v>
      </c>
      <c r="T71" s="6"/>
      <c r="U71" s="6">
        <v>11.736085891723633</v>
      </c>
      <c r="V71" s="6">
        <v>1232.680419921875</v>
      </c>
    </row>
    <row r="72" spans="2:22">
      <c r="B72" s="1">
        <v>67</v>
      </c>
      <c r="C72" s="6">
        <v>52.225460052490234</v>
      </c>
      <c r="D72" s="6">
        <v>2534.65869140625</v>
      </c>
      <c r="E72" s="6"/>
      <c r="F72" s="6">
        <v>51.996776580810547</v>
      </c>
      <c r="G72" s="6">
        <v>5736.17724609375</v>
      </c>
      <c r="H72" s="4">
        <f t="shared" si="1"/>
        <v>125.39677658081054</v>
      </c>
      <c r="Q72" s="1">
        <v>67</v>
      </c>
      <c r="R72" s="6">
        <v>88.217231750488281</v>
      </c>
      <c r="S72" s="6">
        <v>675.7509765625</v>
      </c>
      <c r="T72" s="6"/>
      <c r="U72" s="6">
        <v>14.602110862731934</v>
      </c>
      <c r="V72" s="6">
        <v>730.55413818359375</v>
      </c>
    </row>
    <row r="73" spans="2:22">
      <c r="B73" s="1">
        <v>68</v>
      </c>
      <c r="C73" s="6">
        <v>55.083045959472656</v>
      </c>
      <c r="D73" s="6">
        <v>2531.73681640625</v>
      </c>
      <c r="E73" s="6"/>
      <c r="F73" s="6">
        <v>54.852634429931641</v>
      </c>
      <c r="G73" s="6">
        <v>6706.30078125</v>
      </c>
      <c r="H73" s="4">
        <f t="shared" si="1"/>
        <v>128.25263442993162</v>
      </c>
      <c r="Q73" s="1">
        <v>68</v>
      </c>
      <c r="R73" s="6">
        <v>91.211502075195313</v>
      </c>
      <c r="S73" s="6">
        <v>776.42742919921875</v>
      </c>
      <c r="T73" s="6"/>
      <c r="U73" s="6">
        <v>17.44807243347168</v>
      </c>
      <c r="V73" s="6">
        <v>1485.8013916015625</v>
      </c>
    </row>
    <row r="74" spans="2:22">
      <c r="B74" s="1">
        <v>69</v>
      </c>
      <c r="C74" s="6">
        <v>57.9537353515625</v>
      </c>
      <c r="D74" s="6">
        <v>2198.758056640625</v>
      </c>
      <c r="E74" s="6"/>
      <c r="F74" s="6">
        <v>57.721595764160156</v>
      </c>
      <c r="G74" s="6">
        <v>7453.037109375</v>
      </c>
      <c r="H74" s="4">
        <f t="shared" si="1"/>
        <v>131.12159576416013</v>
      </c>
      <c r="Q74" s="1">
        <v>69</v>
      </c>
      <c r="R74" s="6">
        <v>94.455360412597656</v>
      </c>
      <c r="S74" s="6">
        <v>1397.7144775390625</v>
      </c>
      <c r="T74" s="6"/>
      <c r="U74" s="6">
        <v>20.836481094360352</v>
      </c>
      <c r="V74" s="6">
        <v>1090.46240234375</v>
      </c>
    </row>
    <row r="75" spans="2:22">
      <c r="B75" s="1">
        <v>70</v>
      </c>
      <c r="C75" s="6">
        <v>61.183254241943359</v>
      </c>
      <c r="D75" s="6">
        <v>1388.4486083984375</v>
      </c>
      <c r="E75" s="6"/>
      <c r="F75" s="6">
        <v>60.949165344238281</v>
      </c>
      <c r="G75" s="6">
        <v>8043.439453125</v>
      </c>
      <c r="H75" s="4">
        <f t="shared" si="1"/>
        <v>134.34916534423826</v>
      </c>
      <c r="Q75" s="1">
        <v>70</v>
      </c>
      <c r="R75" s="6">
        <v>97.310836791992188</v>
      </c>
      <c r="S75" s="6">
        <v>1862.925048828125</v>
      </c>
      <c r="T75" s="6"/>
      <c r="U75" s="6">
        <v>23.69023323059082</v>
      </c>
      <c r="V75" s="6">
        <v>1608.1689453125</v>
      </c>
    </row>
    <row r="76" spans="2:22">
      <c r="B76" s="1">
        <v>71</v>
      </c>
      <c r="C76" s="6">
        <v>64.0435791015625</v>
      </c>
      <c r="D76" s="6">
        <v>1503.4222412109375</v>
      </c>
      <c r="E76" s="6"/>
      <c r="F76" s="6">
        <v>63.807765960693359</v>
      </c>
      <c r="G76" s="6">
        <v>9211.0107421875</v>
      </c>
      <c r="H76" s="4">
        <f t="shared" si="1"/>
        <v>137.20776596069334</v>
      </c>
      <c r="Q76" s="1">
        <v>71</v>
      </c>
      <c r="R76" s="6">
        <v>100.16570281982422</v>
      </c>
      <c r="S76" s="6">
        <v>2193.921875</v>
      </c>
      <c r="T76" s="6"/>
      <c r="U76" s="6">
        <v>26.543392181396484</v>
      </c>
      <c r="V76" s="6">
        <v>1858.86083984375</v>
      </c>
    </row>
    <row r="77" spans="2:22">
      <c r="B77" s="1">
        <v>72</v>
      </c>
      <c r="C77" s="6">
        <v>66.899238586425781</v>
      </c>
      <c r="D77" s="6">
        <v>981.308837890625</v>
      </c>
      <c r="E77" s="6"/>
      <c r="F77" s="6">
        <v>66.661705017089844</v>
      </c>
      <c r="G77" s="6">
        <v>9639.2392578125</v>
      </c>
      <c r="H77" s="4">
        <f t="shared" si="1"/>
        <v>140.06170501708982</v>
      </c>
      <c r="Q77" s="1">
        <v>72</v>
      </c>
      <c r="R77" s="6">
        <v>103.4163818359375</v>
      </c>
      <c r="S77" s="6">
        <v>2553.934814453125</v>
      </c>
      <c r="T77" s="6"/>
      <c r="U77" s="6">
        <v>29.792098999023438</v>
      </c>
      <c r="V77" s="6">
        <v>2734.851318359375</v>
      </c>
    </row>
    <row r="78" spans="2:22">
      <c r="B78" s="1">
        <v>73</v>
      </c>
      <c r="C78" s="6">
        <v>70.267265319824219</v>
      </c>
      <c r="D78" s="6">
        <v>619.79327392578125</v>
      </c>
      <c r="E78" s="6"/>
      <c r="F78" s="6">
        <v>70.027702331542969</v>
      </c>
      <c r="G78" s="6">
        <v>10624.3515625</v>
      </c>
      <c r="H78" s="4">
        <f t="shared" si="1"/>
        <v>143.42770233154295</v>
      </c>
      <c r="Q78" s="1">
        <v>73</v>
      </c>
      <c r="R78" s="6">
        <v>106.27346801757813</v>
      </c>
      <c r="S78" s="6">
        <v>2979.133056640625</v>
      </c>
      <c r="T78" s="6"/>
      <c r="U78" s="6">
        <v>32.647472381591797</v>
      </c>
      <c r="V78" s="6">
        <v>3150.412109375</v>
      </c>
    </row>
    <row r="79" spans="2:22">
      <c r="B79" s="1">
        <v>74</v>
      </c>
      <c r="C79" s="6">
        <v>73.141433715820313</v>
      </c>
      <c r="D79" s="6">
        <v>256.53079223632812</v>
      </c>
      <c r="E79" s="6"/>
      <c r="F79" s="6">
        <v>72.900138854980469</v>
      </c>
      <c r="G79" s="6">
        <v>12954.9970703125</v>
      </c>
      <c r="H79" s="4">
        <f t="shared" si="1"/>
        <v>146.30013885498045</v>
      </c>
      <c r="R79" s="6">
        <v>109.25176239013672</v>
      </c>
      <c r="S79" s="6">
        <v>3372.7802734375</v>
      </c>
      <c r="T79" s="6"/>
      <c r="U79" s="6">
        <v>35.623973846435547</v>
      </c>
      <c r="V79" s="6">
        <v>3502.181884765625</v>
      </c>
    </row>
    <row r="80" spans="2:22">
      <c r="B80" s="1">
        <v>75</v>
      </c>
      <c r="C80" s="6">
        <v>75.991142272949219</v>
      </c>
      <c r="D80" s="6">
        <v>812.94561767578125</v>
      </c>
      <c r="E80" s="6"/>
      <c r="F80" s="6">
        <v>75.748130798339844</v>
      </c>
      <c r="G80" s="6">
        <v>14060.21484375</v>
      </c>
      <c r="H80" s="4">
        <f t="shared" si="1"/>
        <v>149.14813079833982</v>
      </c>
      <c r="R80" s="6">
        <v>112.12245178222656</v>
      </c>
      <c r="S80" s="6">
        <v>3525.546875</v>
      </c>
      <c r="T80" s="6"/>
      <c r="U80" s="6">
        <v>38.492931365966797</v>
      </c>
      <c r="V80" s="6">
        <v>3665.0244140625</v>
      </c>
    </row>
    <row r="81" spans="2:22">
      <c r="B81" s="1">
        <v>76</v>
      </c>
      <c r="C81" s="6">
        <v>78.835723876953125</v>
      </c>
      <c r="D81" s="6">
        <v>278.47738647460937</v>
      </c>
      <c r="E81" s="6"/>
      <c r="F81" s="6">
        <v>78.590988159179687</v>
      </c>
      <c r="G81" s="6">
        <v>14205.828125</v>
      </c>
      <c r="H81" s="4">
        <f t="shared" si="1"/>
        <v>151.99098815917966</v>
      </c>
      <c r="R81" s="6">
        <v>115.35520172119141</v>
      </c>
      <c r="S81" s="6">
        <v>3977.226318359375</v>
      </c>
      <c r="T81" s="6"/>
      <c r="U81" s="6">
        <v>41.723728179931641</v>
      </c>
      <c r="V81" s="6">
        <v>4485.94970703125</v>
      </c>
    </row>
    <row r="82" spans="2:22">
      <c r="B82" s="1">
        <v>77</v>
      </c>
      <c r="C82" s="6">
        <v>82.09686279296875</v>
      </c>
      <c r="D82" s="6">
        <v>588.921875</v>
      </c>
      <c r="E82" s="6"/>
      <c r="F82" s="6">
        <v>81.850173950195313</v>
      </c>
      <c r="G82" s="6">
        <v>14551.2138671875</v>
      </c>
      <c r="H82" s="4">
        <f t="shared" si="1"/>
        <v>155.25017395019529</v>
      </c>
      <c r="R82" s="6">
        <v>118.21229553222656</v>
      </c>
      <c r="S82" s="6">
        <v>4701.38623046875</v>
      </c>
      <c r="T82" s="6"/>
      <c r="U82" s="6">
        <v>44.579105377197266</v>
      </c>
      <c r="V82" s="6">
        <v>5110.892578125</v>
      </c>
    </row>
    <row r="83" spans="2:22">
      <c r="B83" s="1">
        <v>78</v>
      </c>
      <c r="C83" s="6">
        <v>85.094085693359375</v>
      </c>
      <c r="D83" s="6">
        <v>389.33795166015625</v>
      </c>
      <c r="E83" s="6"/>
      <c r="F83" s="6">
        <v>84.845588684082031</v>
      </c>
      <c r="G83" s="6">
        <v>14673.5830078125</v>
      </c>
      <c r="H83" s="4">
        <f t="shared" si="1"/>
        <v>158.24558868408201</v>
      </c>
      <c r="R83" s="6">
        <v>121.46939086914062</v>
      </c>
      <c r="S83" s="6">
        <v>5640.849609375</v>
      </c>
      <c r="T83" s="6"/>
      <c r="U83" s="6">
        <v>47.834232330322266</v>
      </c>
      <c r="V83" s="6">
        <v>5362.94580078125</v>
      </c>
    </row>
    <row r="84" spans="2:22">
      <c r="B84" s="1">
        <v>79</v>
      </c>
      <c r="C84" s="6">
        <v>87.9425048828125</v>
      </c>
      <c r="D84" s="6">
        <v>587.9849853515625</v>
      </c>
      <c r="E84" s="6"/>
      <c r="F84" s="6">
        <v>87.692291259765625</v>
      </c>
      <c r="G84" s="6">
        <v>14017.8994140625</v>
      </c>
      <c r="H84" s="4">
        <f t="shared" si="1"/>
        <v>161.0922912597656</v>
      </c>
      <c r="R84" s="6">
        <v>124.454345703125</v>
      </c>
      <c r="S84" s="6">
        <v>5818.724609375</v>
      </c>
      <c r="T84" s="6"/>
      <c r="U84" s="6">
        <v>50.817390441894531</v>
      </c>
      <c r="V84" s="6">
        <v>5673.40576171875</v>
      </c>
    </row>
    <row r="85" spans="2:22">
      <c r="B85" s="1">
        <v>80</v>
      </c>
      <c r="C85" s="6">
        <v>91.188308715820313</v>
      </c>
      <c r="D85" s="6">
        <v>504.8673095703125</v>
      </c>
      <c r="E85" s="6"/>
      <c r="F85" s="6">
        <v>90.936141967773438</v>
      </c>
      <c r="G85" s="6">
        <v>16140.853515625</v>
      </c>
      <c r="H85" s="4">
        <f t="shared" si="1"/>
        <v>164.33614196777341</v>
      </c>
      <c r="R85" s="6">
        <v>127.30589294433594</v>
      </c>
      <c r="S85" s="6">
        <v>6772.203125</v>
      </c>
      <c r="T85" s="6"/>
      <c r="U85" s="6">
        <v>53.667224884033203</v>
      </c>
      <c r="V85" s="6">
        <v>6517.55517578125</v>
      </c>
    </row>
    <row r="86" spans="2:22">
      <c r="B86" s="1">
        <v>81</v>
      </c>
      <c r="C86" s="6">
        <v>94.047386169433594</v>
      </c>
      <c r="D86" s="6">
        <v>701.78338623046875</v>
      </c>
      <c r="E86" s="6"/>
      <c r="F86" s="6">
        <v>93.793495178222656</v>
      </c>
      <c r="G86" s="6">
        <v>25735.900390625</v>
      </c>
      <c r="H86" s="4">
        <f t="shared" si="1"/>
        <v>167.19349517822263</v>
      </c>
      <c r="R86" s="6">
        <v>130.18534851074219</v>
      </c>
      <c r="S86" s="6">
        <v>7316.0009765625</v>
      </c>
      <c r="T86" s="6"/>
      <c r="U86" s="6">
        <v>56.544944763183594</v>
      </c>
      <c r="V86" s="6">
        <v>7139.8984375</v>
      </c>
    </row>
    <row r="87" spans="2:22">
      <c r="B87" s="1">
        <v>82</v>
      </c>
      <c r="C87" s="6">
        <v>96.915321350097656</v>
      </c>
      <c r="D87" s="6">
        <v>1542.3289794921875</v>
      </c>
      <c r="E87" s="6"/>
      <c r="F87" s="6">
        <v>96.659706115722656</v>
      </c>
      <c r="G87" s="6">
        <v>29691.259765625</v>
      </c>
      <c r="H87" s="4">
        <f t="shared" si="1"/>
        <v>170.05970611572263</v>
      </c>
      <c r="R87" s="6">
        <v>133.408203125</v>
      </c>
      <c r="S87" s="6">
        <v>8130.22802734375</v>
      </c>
      <c r="T87" s="6"/>
      <c r="U87" s="6">
        <v>59.765865325927734</v>
      </c>
      <c r="V87" s="6">
        <v>7650.642578125</v>
      </c>
    </row>
    <row r="88" spans="2:22">
      <c r="B88" s="1">
        <v>83</v>
      </c>
      <c r="C88" s="6">
        <v>100.28069305419922</v>
      </c>
      <c r="D88" s="6">
        <v>1516.4599609375</v>
      </c>
      <c r="E88" s="6"/>
      <c r="F88" s="6">
        <v>100.02304840087891</v>
      </c>
      <c r="G88" s="6">
        <v>27042.72265625</v>
      </c>
      <c r="H88" s="4">
        <f t="shared" si="1"/>
        <v>173.42304840087888</v>
      </c>
      <c r="R88" s="6">
        <v>136.26853942871094</v>
      </c>
      <c r="S88" s="6">
        <v>9144.4853515625</v>
      </c>
      <c r="T88" s="6"/>
      <c r="U88" s="6">
        <v>62.624462127685547</v>
      </c>
      <c r="V88" s="6">
        <v>8868.22265625</v>
      </c>
    </row>
    <row r="89" spans="2:22">
      <c r="B89" s="1">
        <v>84</v>
      </c>
      <c r="C89" s="6">
        <v>103.12814331054687</v>
      </c>
      <c r="D89" s="6">
        <v>2009.38525390625</v>
      </c>
      <c r="E89" s="6"/>
      <c r="F89" s="6">
        <v>102.86878204345703</v>
      </c>
      <c r="G89" s="6">
        <v>19359.736328125</v>
      </c>
      <c r="H89" s="4">
        <f t="shared" si="1"/>
        <v>176.26878204345701</v>
      </c>
      <c r="R89" s="6">
        <v>139.13418579101562</v>
      </c>
      <c r="S89" s="6">
        <v>9306.939453125</v>
      </c>
      <c r="T89" s="6"/>
      <c r="U89" s="6">
        <v>65.488380432128906</v>
      </c>
      <c r="V89" s="6">
        <v>9525.0986328125</v>
      </c>
    </row>
    <row r="90" spans="2:22">
      <c r="B90" s="1">
        <v>85</v>
      </c>
      <c r="C90" s="6">
        <v>105.99874114990234</v>
      </c>
      <c r="D90" s="6">
        <v>3070.016357421875</v>
      </c>
      <c r="E90" s="6"/>
      <c r="F90" s="6">
        <v>105.73764801025391</v>
      </c>
      <c r="G90" s="6">
        <v>14897.001953125</v>
      </c>
      <c r="H90" s="4">
        <f t="shared" si="1"/>
        <v>179.13764801025388</v>
      </c>
      <c r="R90" s="6">
        <v>142.50665283203125</v>
      </c>
      <c r="S90" s="6">
        <v>10521.9189453125</v>
      </c>
      <c r="T90" s="6"/>
      <c r="U90" s="6">
        <v>68.858833312988281</v>
      </c>
      <c r="V90" s="6">
        <v>10244.6064453125</v>
      </c>
    </row>
    <row r="91" spans="2:22">
      <c r="B91" s="1">
        <v>86</v>
      </c>
      <c r="C91" s="6">
        <v>109.23455810546875</v>
      </c>
      <c r="D91" s="6">
        <v>2997.1416015625</v>
      </c>
      <c r="E91" s="6"/>
      <c r="F91" s="6">
        <v>108.97151947021484</v>
      </c>
      <c r="G91" s="6">
        <v>15789.7216796875</v>
      </c>
      <c r="H91" s="4">
        <f t="shared" si="1"/>
        <v>182.37151947021482</v>
      </c>
      <c r="R91" s="6">
        <v>145.36639404296875</v>
      </c>
      <c r="S91" s="6">
        <v>11812.2236328125</v>
      </c>
      <c r="T91" s="6"/>
      <c r="U91" s="6">
        <v>71.716842651367188</v>
      </c>
      <c r="V91" s="6">
        <v>12134.6123046875</v>
      </c>
    </row>
    <row r="92" spans="2:22">
      <c r="B92" s="1">
        <v>87</v>
      </c>
      <c r="C92" s="6">
        <v>112.09192657470703</v>
      </c>
      <c r="D92" s="6">
        <v>3212.145263671875</v>
      </c>
      <c r="E92" s="6"/>
      <c r="F92" s="6">
        <v>111.82716369628906</v>
      </c>
      <c r="G92" s="6">
        <v>15704.7373046875</v>
      </c>
      <c r="H92" s="4">
        <f t="shared" si="1"/>
        <v>185.22716369628904</v>
      </c>
      <c r="R92" s="6">
        <v>148.21609497070312</v>
      </c>
      <c r="S92" s="6">
        <v>13664.814453125</v>
      </c>
      <c r="T92" s="6"/>
      <c r="U92" s="6">
        <v>74.564826965332031</v>
      </c>
      <c r="V92" s="6">
        <v>13105.4765625</v>
      </c>
    </row>
    <row r="93" spans="2:22">
      <c r="B93" s="1">
        <v>88</v>
      </c>
      <c r="C93" s="6">
        <v>114.95541381835937</v>
      </c>
      <c r="D93" s="6">
        <v>3924.298583984375</v>
      </c>
      <c r="E93" s="6"/>
      <c r="F93" s="6">
        <v>114.68893432617187</v>
      </c>
      <c r="G93" s="6">
        <v>15002.2412109375</v>
      </c>
      <c r="H93" s="4">
        <f t="shared" si="1"/>
        <v>188.08893432617185</v>
      </c>
      <c r="R93" s="6">
        <v>151.47100830078125</v>
      </c>
      <c r="S93" s="6">
        <v>14590.23046875</v>
      </c>
      <c r="T93" s="6"/>
      <c r="U93" s="6">
        <v>77.817771911621094</v>
      </c>
      <c r="V93" s="6">
        <v>14382.87109375</v>
      </c>
    </row>
    <row r="94" spans="2:22">
      <c r="B94" s="1">
        <v>89</v>
      </c>
      <c r="C94" s="6">
        <v>117.79859924316406</v>
      </c>
      <c r="D94" s="6">
        <v>3702.22802734375</v>
      </c>
      <c r="E94" s="6"/>
      <c r="F94" s="6">
        <v>117.5303955078125</v>
      </c>
      <c r="G94" s="6">
        <v>13811.36328125</v>
      </c>
      <c r="H94" s="4">
        <f t="shared" si="1"/>
        <v>190.93039550781248</v>
      </c>
      <c r="R94" s="6">
        <v>154.32905578613281</v>
      </c>
      <c r="S94" s="6">
        <v>15136.9501953125</v>
      </c>
      <c r="T94" s="6"/>
      <c r="U94" s="6">
        <v>80.674095153808594</v>
      </c>
      <c r="V94" s="6">
        <v>15129.90234375</v>
      </c>
    </row>
    <row r="95" spans="2:22">
      <c r="B95" s="1">
        <v>90</v>
      </c>
      <c r="C95" s="6">
        <v>121.19716644287109</v>
      </c>
      <c r="D95" s="6">
        <v>4319.57568359375</v>
      </c>
      <c r="E95" s="6"/>
      <c r="F95" s="6">
        <v>120.92691802978516</v>
      </c>
      <c r="G95" s="6">
        <v>11804.2158203125</v>
      </c>
      <c r="H95" s="4">
        <f t="shared" si="1"/>
        <v>194.32691802978513</v>
      </c>
      <c r="R95" s="6">
        <v>157.17579650878906</v>
      </c>
      <c r="S95" s="6">
        <v>15348.0556640625</v>
      </c>
      <c r="T95" s="6"/>
      <c r="U95" s="6">
        <v>83.519126892089844</v>
      </c>
      <c r="V95" s="6">
        <v>15213.6513671875</v>
      </c>
    </row>
    <row r="96" spans="2:22">
      <c r="B96" s="1">
        <v>91</v>
      </c>
      <c r="C96" s="6">
        <v>124.05704498291016</v>
      </c>
      <c r="D96" s="6">
        <v>4921.37646484375</v>
      </c>
      <c r="E96" s="6"/>
      <c r="F96" s="6">
        <v>123.78507232666016</v>
      </c>
      <c r="G96" s="6">
        <v>10193.9970703125</v>
      </c>
      <c r="H96" s="4">
        <f t="shared" si="1"/>
        <v>197.18507232666013</v>
      </c>
      <c r="R96" s="6">
        <v>160.18746948242187</v>
      </c>
      <c r="S96" s="6">
        <v>14373.5556640625</v>
      </c>
      <c r="T96" s="6"/>
      <c r="U96" s="6">
        <v>86.528976440429687</v>
      </c>
      <c r="V96" s="6">
        <v>14774.125</v>
      </c>
    </row>
    <row r="97" spans="2:22">
      <c r="B97" s="1">
        <v>92</v>
      </c>
      <c r="C97" s="6">
        <v>126.89936065673828</v>
      </c>
      <c r="D97" s="6">
        <v>5423.06787109375</v>
      </c>
      <c r="E97" s="6"/>
      <c r="F97" s="6">
        <v>126.62566375732422</v>
      </c>
      <c r="G97" s="6">
        <v>9626.30078125</v>
      </c>
      <c r="H97" s="4">
        <f t="shared" si="1"/>
        <v>200.0256637573242</v>
      </c>
      <c r="R97" s="6">
        <v>163.40650939941406</v>
      </c>
      <c r="S97" s="6">
        <v>16012.5849609375</v>
      </c>
      <c r="T97" s="6"/>
      <c r="U97" s="6">
        <v>89.746078491210938</v>
      </c>
      <c r="V97" s="6">
        <v>14956.3232421875</v>
      </c>
    </row>
    <row r="98" spans="2:22">
      <c r="B98" s="1">
        <v>93</v>
      </c>
      <c r="C98" s="6">
        <v>130.15171813964844</v>
      </c>
      <c r="D98" s="6">
        <v>6133.490234375</v>
      </c>
      <c r="E98" s="6"/>
      <c r="F98" s="6">
        <v>129.87608337402344</v>
      </c>
      <c r="G98" s="6">
        <v>8453.7529296875</v>
      </c>
      <c r="H98" s="4">
        <f t="shared" si="1"/>
        <v>203.27608337402341</v>
      </c>
      <c r="R98" s="6">
        <v>166.26788330078125</v>
      </c>
      <c r="S98" s="6">
        <v>22763.5703125</v>
      </c>
      <c r="T98" s="6"/>
      <c r="U98" s="6">
        <v>92.605728149414063</v>
      </c>
      <c r="V98" s="6">
        <v>19825.77734375</v>
      </c>
    </row>
    <row r="99" spans="2:22">
      <c r="B99" s="1">
        <v>94</v>
      </c>
      <c r="C99" s="6">
        <v>133.00837707519531</v>
      </c>
      <c r="D99" s="6">
        <v>6882.533203125</v>
      </c>
      <c r="E99" s="6"/>
      <c r="F99" s="6">
        <v>132.73100280761719</v>
      </c>
      <c r="G99" s="6">
        <v>7809.42236328125</v>
      </c>
      <c r="H99" s="4">
        <f t="shared" si="1"/>
        <v>206.13100280761716</v>
      </c>
      <c r="R99" s="6">
        <v>169.13462829589844</v>
      </c>
      <c r="S99" s="6">
        <v>29776.736328125</v>
      </c>
      <c r="T99" s="6"/>
      <c r="U99" s="6">
        <v>95.470741271972656</v>
      </c>
      <c r="V99" s="6">
        <v>29299.228515625</v>
      </c>
    </row>
    <row r="100" spans="2:22">
      <c r="B100" s="1">
        <v>95</v>
      </c>
      <c r="C100" s="6">
        <v>136.00009155273437</v>
      </c>
      <c r="D100" s="6">
        <v>7478.69677734375</v>
      </c>
      <c r="E100" s="6"/>
      <c r="F100" s="6">
        <v>135.72093200683594</v>
      </c>
      <c r="G100" s="6">
        <v>6812.55712890625</v>
      </c>
      <c r="H100" s="4">
        <f t="shared" si="1"/>
        <v>209.12093200683591</v>
      </c>
      <c r="R100" s="6">
        <v>172.3746337890625</v>
      </c>
      <c r="S100" s="6">
        <v>28943.134765625</v>
      </c>
      <c r="T100" s="6"/>
      <c r="U100" s="6">
        <v>98.708793640136719</v>
      </c>
      <c r="V100" s="6">
        <v>30000</v>
      </c>
    </row>
    <row r="101" spans="2:22">
      <c r="B101" s="1">
        <v>96</v>
      </c>
      <c r="C101" s="6">
        <v>139.246826171875</v>
      </c>
      <c r="D101" s="6">
        <v>8239.9833984375</v>
      </c>
      <c r="E101" s="6"/>
      <c r="F101" s="6">
        <v>138.9656982421875</v>
      </c>
      <c r="G101" s="6">
        <v>5979.60498046875</v>
      </c>
      <c r="H101" s="4">
        <f t="shared" si="1"/>
        <v>212.36569824218748</v>
      </c>
      <c r="R101" s="6">
        <v>175.35720825195312</v>
      </c>
      <c r="S101" s="6">
        <v>20572.021484375</v>
      </c>
      <c r="T101" s="6"/>
      <c r="U101" s="6">
        <v>101.55933380126953</v>
      </c>
      <c r="V101" s="6">
        <v>24349.86328125</v>
      </c>
    </row>
    <row r="102" spans="2:22">
      <c r="B102" s="1">
        <v>97</v>
      </c>
      <c r="C102" s="6">
        <v>142.10198974609375</v>
      </c>
      <c r="D102" s="6">
        <v>9224.4365234375</v>
      </c>
      <c r="E102" s="6"/>
      <c r="F102" s="6">
        <v>141.81913757324219</v>
      </c>
      <c r="G102" s="6">
        <v>5648.5595703125</v>
      </c>
      <c r="H102" s="4">
        <f t="shared" si="1"/>
        <v>215.21913757324216</v>
      </c>
      <c r="R102" s="6">
        <v>178.22576904296875</v>
      </c>
      <c r="S102" s="6">
        <v>14686.0302734375</v>
      </c>
      <c r="T102" s="6"/>
      <c r="U102" s="6">
        <v>104.55640411376953</v>
      </c>
      <c r="V102" s="6">
        <v>17059.115234375</v>
      </c>
    </row>
    <row r="103" spans="2:22">
      <c r="B103" s="1">
        <v>98</v>
      </c>
      <c r="C103" s="6">
        <v>144.95559692382812</v>
      </c>
      <c r="D103" s="6">
        <v>11463.81640625</v>
      </c>
      <c r="E103" s="6"/>
      <c r="F103" s="6">
        <v>144.67103576660156</v>
      </c>
      <c r="G103" s="6">
        <v>4819.705078125</v>
      </c>
      <c r="H103" s="4">
        <f t="shared" si="1"/>
        <v>218.07103576660154</v>
      </c>
      <c r="R103" s="6">
        <v>181.46275329589844</v>
      </c>
      <c r="S103" s="6">
        <v>15209.240234375</v>
      </c>
      <c r="T103" s="6"/>
      <c r="U103" s="6">
        <v>107.79143524169922</v>
      </c>
      <c r="V103" s="6">
        <v>15432.8271484375</v>
      </c>
    </row>
    <row r="104" spans="2:22">
      <c r="B104" s="1">
        <v>99</v>
      </c>
      <c r="C104" s="6">
        <v>148.20840454101562</v>
      </c>
      <c r="D104" s="6">
        <v>12703.1171875</v>
      </c>
      <c r="E104" s="6"/>
      <c r="F104" s="6">
        <v>147.921875</v>
      </c>
      <c r="G104" s="6">
        <v>3908.901123046875</v>
      </c>
      <c r="H104" s="4">
        <f t="shared" si="1"/>
        <v>221.32187499999998</v>
      </c>
      <c r="R104" s="6">
        <v>184.33599853515625</v>
      </c>
      <c r="S104" s="6">
        <v>16139.3876953125</v>
      </c>
      <c r="T104" s="6"/>
      <c r="U104" s="6">
        <v>110.66294860839844</v>
      </c>
      <c r="V104" s="6">
        <v>16171.8916015625</v>
      </c>
    </row>
    <row r="105" spans="2:22">
      <c r="B105" s="1">
        <v>100</v>
      </c>
      <c r="C105" s="6">
        <v>151.06874084472656</v>
      </c>
      <c r="D105" s="6">
        <v>14007.2099609375</v>
      </c>
      <c r="E105" s="6"/>
      <c r="F105" s="6">
        <v>150.78047180175781</v>
      </c>
      <c r="G105" s="6">
        <v>3822.31591796875</v>
      </c>
      <c r="H105" s="4">
        <f t="shared" si="1"/>
        <v>224.18047180175779</v>
      </c>
      <c r="R105" s="6">
        <v>187.19085693359375</v>
      </c>
      <c r="S105" s="6">
        <v>15028.830078125</v>
      </c>
      <c r="T105" s="6"/>
      <c r="U105" s="6">
        <v>113.51610565185547</v>
      </c>
      <c r="V105" s="6">
        <v>15845.4013671875</v>
      </c>
    </row>
    <row r="106" spans="2:22">
      <c r="B106" s="1">
        <v>101</v>
      </c>
      <c r="C106" s="6">
        <v>154.05210876464844</v>
      </c>
      <c r="D106" s="6">
        <v>14780.0419921875</v>
      </c>
      <c r="E106" s="6"/>
      <c r="F106" s="6">
        <v>153.76205444335938</v>
      </c>
      <c r="G106" s="6">
        <v>3019.6171875</v>
      </c>
      <c r="H106" s="4">
        <f t="shared" si="1"/>
        <v>227.16205444335935</v>
      </c>
      <c r="R106" s="6">
        <v>190.56278991699219</v>
      </c>
      <c r="S106" s="6">
        <v>13359.0556640625</v>
      </c>
      <c r="T106" s="6"/>
      <c r="U106" s="6">
        <v>116.7615966796875</v>
      </c>
      <c r="V106" s="6">
        <v>14453.1748046875</v>
      </c>
    </row>
    <row r="107" spans="2:22">
      <c r="B107" s="1">
        <v>102</v>
      </c>
      <c r="C107" s="6">
        <v>156.92437744140625</v>
      </c>
      <c r="D107" s="6">
        <v>14721.904296875</v>
      </c>
      <c r="E107" s="6"/>
      <c r="F107" s="6">
        <v>156.63258361816406</v>
      </c>
      <c r="G107" s="6">
        <v>3368.77783203125</v>
      </c>
      <c r="H107" s="4">
        <f t="shared" si="1"/>
        <v>230.03258361816404</v>
      </c>
      <c r="R107" s="6">
        <v>193.42327880859375</v>
      </c>
      <c r="S107" s="6">
        <v>12208.486328125</v>
      </c>
      <c r="T107" s="6"/>
      <c r="U107" s="6">
        <v>119.74474334716797</v>
      </c>
      <c r="V107" s="6">
        <v>12766.2080078125</v>
      </c>
    </row>
    <row r="108" spans="2:22">
      <c r="B108" s="1">
        <v>103</v>
      </c>
      <c r="C108" s="6">
        <v>160.15046691894531</v>
      </c>
      <c r="D108" s="6">
        <v>14250.2421875</v>
      </c>
      <c r="E108" s="6"/>
      <c r="F108" s="6">
        <v>159.85675048828125</v>
      </c>
      <c r="G108" s="6">
        <v>2668.623046875</v>
      </c>
      <c r="H108" s="4">
        <f t="shared" si="1"/>
        <v>233.25675048828123</v>
      </c>
      <c r="R108" s="6">
        <v>196.27693176269531</v>
      </c>
      <c r="S108" s="6">
        <v>9936.494140625</v>
      </c>
      <c r="T108" s="6"/>
      <c r="U108" s="6">
        <v>122.59668731689453</v>
      </c>
      <c r="V108" s="6">
        <v>11122.79296875</v>
      </c>
    </row>
    <row r="109" spans="2:22">
      <c r="B109" s="1">
        <v>104</v>
      </c>
      <c r="C109" s="6">
        <v>163.007568359375</v>
      </c>
      <c r="D109" s="6">
        <v>14803.2109375</v>
      </c>
      <c r="E109" s="6"/>
      <c r="F109" s="6">
        <v>162.71212768554688</v>
      </c>
      <c r="G109" s="6">
        <v>2739.927978515625</v>
      </c>
      <c r="H109" s="4">
        <f t="shared" si="1"/>
        <v>236.11212768554685</v>
      </c>
      <c r="R109" s="6">
        <v>199.14759826660156</v>
      </c>
      <c r="S109" s="6">
        <v>9407.744140625</v>
      </c>
      <c r="T109" s="6"/>
      <c r="U109" s="6">
        <v>125.46565246582031</v>
      </c>
      <c r="V109" s="6">
        <v>10399.4501953125</v>
      </c>
    </row>
    <row r="110" spans="2:22">
      <c r="B110" s="1">
        <v>105</v>
      </c>
      <c r="C110" s="6">
        <v>166.26466369628906</v>
      </c>
      <c r="D110" s="6">
        <v>20320.037109375</v>
      </c>
      <c r="E110" s="6"/>
      <c r="F110" s="6">
        <v>165.96723937988281</v>
      </c>
      <c r="G110" s="6">
        <v>2068.639892578125</v>
      </c>
      <c r="H110" s="4">
        <f t="shared" si="1"/>
        <v>239.36723937988279</v>
      </c>
      <c r="R110" s="6">
        <v>202.38035583496094</v>
      </c>
      <c r="S110" s="6">
        <v>8387.078125</v>
      </c>
      <c r="T110" s="6"/>
      <c r="U110" s="6">
        <v>128.69645690917969</v>
      </c>
      <c r="V110" s="6">
        <v>8454.240234375</v>
      </c>
    </row>
    <row r="111" spans="2:22">
      <c r="B111" s="1">
        <v>106</v>
      </c>
      <c r="C111" s="6">
        <v>169.24960327148437</v>
      </c>
      <c r="D111" s="6">
        <v>29107.52734375</v>
      </c>
      <c r="E111" s="6"/>
      <c r="F111" s="6">
        <v>168.95039367675781</v>
      </c>
      <c r="G111" s="6">
        <v>1107.06494140625</v>
      </c>
      <c r="H111" s="4">
        <f t="shared" si="1"/>
        <v>242.35039367675779</v>
      </c>
      <c r="R111" s="6">
        <v>205.23745727539062</v>
      </c>
      <c r="S111" s="6">
        <v>7500.1572265625</v>
      </c>
      <c r="T111" s="6"/>
      <c r="U111" s="6">
        <v>131.55183410644531</v>
      </c>
      <c r="V111" s="6">
        <v>8674.962890625</v>
      </c>
    </row>
    <row r="112" spans="2:22">
      <c r="B112" s="1">
        <v>107</v>
      </c>
      <c r="C112" s="6">
        <v>172.10116577148437</v>
      </c>
      <c r="D112" s="6">
        <v>30000</v>
      </c>
      <c r="E112" s="6"/>
      <c r="F112" s="6">
        <v>171.80023193359375</v>
      </c>
      <c r="G112" s="6">
        <v>671.98101806640625</v>
      </c>
      <c r="H112" s="4">
        <f t="shared" si="1"/>
        <v>245.20023193359373</v>
      </c>
      <c r="R112" s="6">
        <v>208.08404541015625</v>
      </c>
      <c r="S112" s="6">
        <v>6877.869140625</v>
      </c>
      <c r="T112" s="6"/>
      <c r="U112" s="6">
        <v>134.39668273925781</v>
      </c>
      <c r="V112" s="6">
        <v>8161.91259765625</v>
      </c>
    </row>
    <row r="113" spans="2:22">
      <c r="B113" s="1">
        <v>108</v>
      </c>
      <c r="C113" s="6">
        <v>174.98062133789063</v>
      </c>
      <c r="D113" s="6">
        <v>24878.533203125</v>
      </c>
      <c r="E113" s="6"/>
      <c r="F113" s="6">
        <v>174.67794799804687</v>
      </c>
      <c r="G113" s="6">
        <v>667.2982177734375</v>
      </c>
      <c r="H113" s="4">
        <f t="shared" si="1"/>
        <v>248.07794799804685</v>
      </c>
      <c r="R113" s="6">
        <v>211.47178649902344</v>
      </c>
      <c r="S113" s="6">
        <v>6165.46435546875</v>
      </c>
      <c r="T113" s="6"/>
      <c r="U113" s="6">
        <v>137.78239440917969</v>
      </c>
      <c r="V113" s="6">
        <v>6819.443359375</v>
      </c>
    </row>
    <row r="114" spans="2:22">
      <c r="B114" s="1">
        <v>109</v>
      </c>
      <c r="C114" s="6">
        <v>178.20671081542969</v>
      </c>
      <c r="D114" s="6">
        <v>14449.5244140625</v>
      </c>
      <c r="E114" s="6"/>
      <c r="F114" s="6">
        <v>177.902099609375</v>
      </c>
      <c r="G114" s="6">
        <v>0</v>
      </c>
      <c r="H114" s="4">
        <f t="shared" si="1"/>
        <v>251.30209960937498</v>
      </c>
      <c r="R114" s="6">
        <v>214.3310546875</v>
      </c>
      <c r="S114" s="6">
        <v>5634.81005859375</v>
      </c>
      <c r="T114" s="6"/>
      <c r="U114" s="6">
        <v>140.63993835449219</v>
      </c>
      <c r="V114" s="6">
        <v>5779.60546875</v>
      </c>
    </row>
    <row r="115" spans="2:22">
      <c r="B115" s="1">
        <v>110</v>
      </c>
      <c r="C115" s="6">
        <v>181.06808471679687</v>
      </c>
      <c r="D115" s="6">
        <v>13616.0771484375</v>
      </c>
      <c r="E115" s="6"/>
      <c r="F115" s="6">
        <v>180.76173400878906</v>
      </c>
      <c r="G115" s="6">
        <v>82.5650634765625</v>
      </c>
      <c r="H115" s="4">
        <f t="shared" si="1"/>
        <v>254.16173400878904</v>
      </c>
      <c r="R115" s="6">
        <v>217.18055725097656</v>
      </c>
      <c r="S115" s="6">
        <v>5577.4560546875</v>
      </c>
      <c r="T115" s="6"/>
      <c r="U115" s="6">
        <v>143.48773193359375</v>
      </c>
      <c r="V115" s="6">
        <v>4938.7978515625</v>
      </c>
    </row>
    <row r="116" spans="2:22">
      <c r="B116" s="1">
        <v>111</v>
      </c>
      <c r="C116" s="6">
        <v>183.92433166503906</v>
      </c>
      <c r="D116" s="6">
        <v>15206.7451171875</v>
      </c>
      <c r="E116" s="6"/>
      <c r="F116" s="6">
        <v>183.61628723144531</v>
      </c>
      <c r="G116" s="6">
        <v>854.31732177734375</v>
      </c>
      <c r="H116" s="4">
        <f t="shared" si="1"/>
        <v>257.01628723144529</v>
      </c>
      <c r="R116" s="6">
        <v>220.43023681640625</v>
      </c>
      <c r="S116" s="6">
        <v>4871.0908203125</v>
      </c>
      <c r="T116" s="6"/>
      <c r="U116" s="6">
        <v>146.73544311523437</v>
      </c>
      <c r="V116" s="6">
        <v>4172.55029296875</v>
      </c>
    </row>
    <row r="117" spans="2:22">
      <c r="B117" s="1">
        <v>112</v>
      </c>
      <c r="C117" s="6">
        <v>186.906494140625</v>
      </c>
      <c r="D117" s="6">
        <v>14364.025390625</v>
      </c>
      <c r="E117" s="6"/>
      <c r="F117" s="6">
        <v>186.59663391113281</v>
      </c>
      <c r="G117" s="6">
        <v>1022.405029296875</v>
      </c>
      <c r="H117" s="4">
        <f t="shared" si="1"/>
        <v>259.99663391113279</v>
      </c>
      <c r="R117" s="6">
        <v>223.29074096679687</v>
      </c>
      <c r="S117" s="6">
        <v>3990.143798828125</v>
      </c>
      <c r="T117" s="6"/>
      <c r="U117" s="6">
        <v>149.59422302246094</v>
      </c>
      <c r="V117" s="6">
        <v>4730.77783203125</v>
      </c>
    </row>
    <row r="118" spans="2:22">
      <c r="B118" s="1">
        <v>113</v>
      </c>
      <c r="C118" s="6">
        <v>190.16166687011719</v>
      </c>
      <c r="D118" s="6">
        <v>14099.140625</v>
      </c>
      <c r="E118" s="6"/>
      <c r="F118" s="6">
        <v>189.849853515625</v>
      </c>
      <c r="G118" s="6">
        <v>1304.974609375</v>
      </c>
      <c r="H118" s="4">
        <f t="shared" si="1"/>
        <v>263.24985351562498</v>
      </c>
      <c r="R118" s="6">
        <v>226.27706909179687</v>
      </c>
      <c r="S118" s="6">
        <v>3724.009521484375</v>
      </c>
      <c r="T118" s="6"/>
      <c r="U118" s="6">
        <v>152.44204711914062</v>
      </c>
      <c r="V118" s="6">
        <v>3936.83544921875</v>
      </c>
    </row>
    <row r="119" spans="2:22">
      <c r="B119" s="1">
        <v>114</v>
      </c>
      <c r="C119" s="6">
        <v>193.0208740234375</v>
      </c>
      <c r="D119" s="6">
        <v>12401.3916015625</v>
      </c>
      <c r="E119" s="6"/>
      <c r="F119" s="6">
        <v>192.70735168457031</v>
      </c>
      <c r="G119" s="6">
        <v>1488.7127685546875</v>
      </c>
      <c r="H119" s="4">
        <f t="shared" si="1"/>
        <v>266.10735168457029</v>
      </c>
      <c r="R119" s="6">
        <v>229.14268493652344</v>
      </c>
      <c r="S119" s="6">
        <v>3125.95751953125</v>
      </c>
      <c r="T119" s="6"/>
      <c r="U119" s="6">
        <v>155.442626953125</v>
      </c>
      <c r="V119" s="6">
        <v>3665.24072265625</v>
      </c>
    </row>
    <row r="120" spans="2:22">
      <c r="B120" s="1">
        <v>115</v>
      </c>
      <c r="C120" s="6">
        <v>196.25973510742187</v>
      </c>
      <c r="D120" s="6">
        <v>9886.7099609375</v>
      </c>
      <c r="E120" s="6"/>
      <c r="F120" s="6">
        <v>195.94422912597656</v>
      </c>
      <c r="G120" s="6">
        <v>1284.19482421875</v>
      </c>
      <c r="H120" s="4">
        <f t="shared" si="1"/>
        <v>269.34422912597654</v>
      </c>
      <c r="R120" s="6">
        <v>232.37542724609375</v>
      </c>
      <c r="S120" s="6">
        <v>3216.60693359375</v>
      </c>
      <c r="T120" s="6"/>
      <c r="U120" s="6">
        <v>158.67344665527344</v>
      </c>
      <c r="V120" s="6">
        <v>3469.056640625</v>
      </c>
    </row>
    <row r="121" spans="2:22">
      <c r="B121" s="1">
        <v>116</v>
      </c>
      <c r="C121" s="6">
        <v>199.12063598632812</v>
      </c>
      <c r="D121" s="6">
        <v>9260.21484375</v>
      </c>
      <c r="E121" s="6"/>
      <c r="F121" s="6">
        <v>198.80343627929687</v>
      </c>
      <c r="G121" s="6">
        <v>1338.3704833984375</v>
      </c>
      <c r="H121" s="4">
        <f t="shared" si="1"/>
        <v>272.20343627929685</v>
      </c>
      <c r="R121" s="6">
        <v>235.25077819824219</v>
      </c>
      <c r="S121" s="6">
        <v>2336.273681640625</v>
      </c>
      <c r="T121" s="6"/>
      <c r="U121" s="6">
        <v>161.54705810546875</v>
      </c>
      <c r="V121" s="6">
        <v>3011.53564453125</v>
      </c>
    </row>
    <row r="122" spans="2:22">
      <c r="B122" s="1">
        <v>117</v>
      </c>
      <c r="C122" s="6">
        <v>201.98141479492187</v>
      </c>
      <c r="D122" s="6">
        <v>8266.154296875</v>
      </c>
      <c r="E122" s="6"/>
      <c r="F122" s="6">
        <v>201.66249084472656</v>
      </c>
      <c r="G122" s="6">
        <v>1994.82421875</v>
      </c>
      <c r="H122" s="4">
        <f t="shared" si="1"/>
        <v>275.06249084472654</v>
      </c>
      <c r="R122" s="6">
        <v>238.09817504882813</v>
      </c>
      <c r="S122" s="6">
        <v>1316.8182373046875</v>
      </c>
      <c r="T122" s="6"/>
      <c r="U122" s="6">
        <v>164.39273071289062</v>
      </c>
      <c r="V122" s="6">
        <v>2855.455078125</v>
      </c>
    </row>
    <row r="123" spans="2:22">
      <c r="B123" s="1">
        <v>118</v>
      </c>
      <c r="C123" s="6">
        <v>204.96900939941406</v>
      </c>
      <c r="D123" s="6">
        <v>7890.1083984375</v>
      </c>
      <c r="E123" s="6"/>
      <c r="F123" s="6">
        <v>204.64828491210937</v>
      </c>
      <c r="G123" s="6">
        <v>2035.7833251953125</v>
      </c>
      <c r="H123" s="4">
        <f t="shared" si="1"/>
        <v>278.04828491210935</v>
      </c>
      <c r="R123" s="6">
        <v>241.34024047851563</v>
      </c>
      <c r="S123" s="6">
        <v>1260.836669921875</v>
      </c>
      <c r="T123" s="6"/>
      <c r="U123" s="6">
        <v>167.63284301757812</v>
      </c>
      <c r="V123" s="6">
        <v>1669.3914794921875</v>
      </c>
    </row>
    <row r="124" spans="2:22">
      <c r="B124" s="1">
        <v>119</v>
      </c>
      <c r="C124" s="6">
        <v>208.21208190917969</v>
      </c>
      <c r="D124" s="6">
        <v>6680.74169921875</v>
      </c>
      <c r="E124" s="6"/>
      <c r="F124" s="6">
        <v>207.88938903808594</v>
      </c>
      <c r="G124" s="6">
        <v>1996.3492431640625</v>
      </c>
      <c r="H124" s="4">
        <f t="shared" si="1"/>
        <v>281.28938903808591</v>
      </c>
      <c r="R124" s="6">
        <v>244.34420776367187</v>
      </c>
      <c r="S124" s="6">
        <v>1220.3563232421875</v>
      </c>
      <c r="T124" s="6"/>
      <c r="U124" s="6">
        <v>170.63499450683594</v>
      </c>
      <c r="V124" s="6">
        <v>833.628173828125</v>
      </c>
    </row>
    <row r="125" spans="2:22">
      <c r="B125" s="1">
        <v>120</v>
      </c>
      <c r="C125" s="6">
        <v>211.07711791992187</v>
      </c>
      <c r="D125" s="6">
        <v>6016.9443359375</v>
      </c>
      <c r="E125" s="6"/>
      <c r="F125" s="6">
        <v>210.75270080566406</v>
      </c>
      <c r="G125" s="6">
        <v>3479.85546875</v>
      </c>
      <c r="H125" s="4">
        <f t="shared" si="1"/>
        <v>284.15270080566404</v>
      </c>
      <c r="R125" s="6">
        <v>247.20558166503906</v>
      </c>
      <c r="S125" s="6">
        <v>1409.178955078125</v>
      </c>
      <c r="T125" s="6"/>
      <c r="U125" s="6">
        <v>173.49464416503906</v>
      </c>
      <c r="V125" s="6">
        <v>1323.4852294921875</v>
      </c>
    </row>
    <row r="126" spans="2:22">
      <c r="C126" s="6">
        <v>213.91940307617187</v>
      </c>
      <c r="D126" s="6">
        <v>5124.390625</v>
      </c>
      <c r="E126" s="6"/>
      <c r="F126" s="6">
        <v>213.59327697753906</v>
      </c>
      <c r="G126" s="6">
        <v>3170.205810546875</v>
      </c>
      <c r="R126" s="6">
        <v>250.44198608398437</v>
      </c>
      <c r="S126" s="6">
        <v>868.09375</v>
      </c>
      <c r="T126" s="6"/>
      <c r="U126" s="6">
        <v>176.72909545898437</v>
      </c>
      <c r="V126" s="6">
        <v>958.1463623046875</v>
      </c>
    </row>
    <row r="127" spans="2:22">
      <c r="C127" s="6">
        <v>217.18055725097656</v>
      </c>
      <c r="D127" s="6">
        <v>4388.4326171875</v>
      </c>
      <c r="E127" s="6"/>
      <c r="F127" s="6">
        <v>216.85247802734375</v>
      </c>
      <c r="G127" s="6">
        <v>4139.39013671875</v>
      </c>
      <c r="R127" s="6">
        <v>253.28877258300781</v>
      </c>
      <c r="S127" s="6">
        <v>392.98513793945312</v>
      </c>
      <c r="T127" s="6"/>
      <c r="U127" s="6">
        <v>179.57415771484375</v>
      </c>
      <c r="V127" s="6">
        <v>939.70379638671875</v>
      </c>
    </row>
    <row r="128" spans="2:22">
      <c r="C128" s="6">
        <v>220.17054748535156</v>
      </c>
      <c r="D128" s="6">
        <v>4029.06103515625</v>
      </c>
      <c r="E128" s="6"/>
      <c r="F128" s="6">
        <v>219.84065246582031</v>
      </c>
      <c r="G128" s="6">
        <v>4333.06396484375</v>
      </c>
      <c r="R128" s="6">
        <v>256.15438842773437</v>
      </c>
      <c r="S128" s="6">
        <v>846.35992431640625</v>
      </c>
      <c r="T128" s="6"/>
      <c r="U128" s="6">
        <v>182.43809509277344</v>
      </c>
      <c r="V128" s="6">
        <v>842.49359130859375</v>
      </c>
    </row>
    <row r="129" spans="3:22">
      <c r="C129" s="6"/>
      <c r="D129" s="6"/>
      <c r="E129" s="6"/>
      <c r="F129" s="6"/>
      <c r="G129" s="6"/>
      <c r="R129" s="6"/>
      <c r="S129" s="6"/>
      <c r="T129" s="6"/>
      <c r="U129" s="6"/>
      <c r="V129" s="6"/>
    </row>
    <row r="130" spans="3:22">
      <c r="C130" s="6"/>
      <c r="D130" s="6"/>
      <c r="E130" s="6"/>
      <c r="F130" s="6"/>
      <c r="G130" s="6"/>
      <c r="R130" s="6"/>
      <c r="S130" s="6"/>
      <c r="T130" s="6"/>
      <c r="U130" s="6"/>
      <c r="V130" s="6"/>
    </row>
    <row r="131" spans="3:22">
      <c r="C131" s="6"/>
      <c r="D131" s="6"/>
      <c r="E131" s="6"/>
      <c r="F131" s="6"/>
      <c r="G131" s="6"/>
      <c r="R131" s="6"/>
      <c r="S131" s="6"/>
      <c r="T131" s="6"/>
      <c r="U131" s="6"/>
      <c r="V131" s="6"/>
    </row>
    <row r="132" spans="3:22">
      <c r="C132" s="6"/>
      <c r="D132" s="6"/>
      <c r="E132" s="6"/>
      <c r="F132" s="6"/>
      <c r="G132" s="6"/>
      <c r="R132" s="6"/>
      <c r="S132" s="6"/>
      <c r="T132" s="6"/>
      <c r="U132" s="6"/>
      <c r="V132" s="6"/>
    </row>
    <row r="133" spans="3:22">
      <c r="C133" s="6"/>
      <c r="D133" s="6"/>
      <c r="E133" s="6"/>
      <c r="F133" s="6"/>
      <c r="G133" s="6"/>
      <c r="R133" s="6"/>
      <c r="S133" s="6"/>
      <c r="T133" s="6"/>
      <c r="U133" s="6"/>
      <c r="V133" s="6"/>
    </row>
    <row r="134" spans="3:22">
      <c r="C134" s="6"/>
      <c r="D134" s="6"/>
      <c r="E134" s="6"/>
      <c r="F134" s="6"/>
      <c r="G134" s="6"/>
      <c r="R134" s="6"/>
      <c r="S134" s="6"/>
      <c r="T134" s="6"/>
      <c r="U134" s="6"/>
      <c r="V134" s="6"/>
    </row>
    <row r="135" spans="3:22">
      <c r="C135" s="6"/>
      <c r="D135" s="6"/>
      <c r="E135" s="6"/>
      <c r="F135" s="6"/>
      <c r="G135" s="6"/>
      <c r="R135" s="6"/>
      <c r="S135" s="6"/>
      <c r="T135" s="6"/>
      <c r="U135" s="6"/>
      <c r="V135" s="6"/>
    </row>
    <row r="136" spans="3:22">
      <c r="C136" s="6"/>
      <c r="D136" s="6"/>
      <c r="E136" s="6"/>
      <c r="F136" s="6"/>
      <c r="G136" s="6"/>
      <c r="R136" s="6"/>
      <c r="S136" s="6"/>
      <c r="T136" s="6"/>
      <c r="U136" s="6"/>
      <c r="V136" s="6"/>
    </row>
    <row r="137" spans="3:22">
      <c r="C137" s="6"/>
      <c r="D137" s="6"/>
      <c r="E137" s="6"/>
      <c r="F137" s="6"/>
      <c r="G137" s="6"/>
      <c r="R137" s="6"/>
      <c r="S137" s="6"/>
      <c r="T137" s="6"/>
      <c r="U137" s="6"/>
      <c r="V137" s="6"/>
    </row>
    <row r="138" spans="3:22">
      <c r="C138" s="6"/>
      <c r="D138" s="6"/>
      <c r="E138" s="6"/>
      <c r="F138" s="6"/>
      <c r="G138" s="6"/>
      <c r="R138" s="6"/>
      <c r="S138" s="6"/>
      <c r="T138" s="6"/>
      <c r="U138" s="6"/>
      <c r="V138" s="6"/>
    </row>
    <row r="139" spans="3:22">
      <c r="C139" s="6"/>
      <c r="D139" s="6"/>
      <c r="E139" s="6"/>
      <c r="F139" s="6"/>
      <c r="G139" s="6"/>
      <c r="R139" s="6"/>
      <c r="S139" s="6"/>
      <c r="T139" s="6"/>
      <c r="U139" s="6"/>
      <c r="V139" s="6"/>
    </row>
    <row r="140" spans="3:22">
      <c r="C140" s="6"/>
      <c r="D140" s="6"/>
      <c r="E140" s="6"/>
      <c r="F140" s="6"/>
      <c r="G140" s="6"/>
      <c r="R140" s="6"/>
      <c r="S140" s="6"/>
      <c r="T140" s="6"/>
      <c r="U140" s="6"/>
      <c r="V140" s="6"/>
    </row>
    <row r="141" spans="3:22">
      <c r="C141" s="6"/>
      <c r="D141" s="6"/>
      <c r="E141" s="6"/>
      <c r="F141" s="6"/>
      <c r="G141" s="6"/>
      <c r="R141" s="6"/>
      <c r="S141" s="6"/>
      <c r="T141" s="6"/>
      <c r="U141" s="6"/>
      <c r="V141" s="6"/>
    </row>
    <row r="142" spans="3:22">
      <c r="C142" s="6"/>
      <c r="D142" s="6"/>
      <c r="E142" s="6"/>
      <c r="F142" s="6"/>
      <c r="G142" s="6"/>
      <c r="R142" s="6"/>
      <c r="S142" s="6"/>
      <c r="T142" s="6"/>
      <c r="U142" s="6"/>
      <c r="V142" s="6"/>
    </row>
    <row r="143" spans="3:22">
      <c r="C143" s="6"/>
      <c r="D143" s="6"/>
      <c r="E143" s="6"/>
      <c r="F143" s="6"/>
      <c r="G143" s="6"/>
      <c r="R143" s="6"/>
      <c r="S143" s="6"/>
      <c r="T143" s="6"/>
      <c r="U143" s="6"/>
      <c r="V143" s="6"/>
    </row>
    <row r="144" spans="3:22">
      <c r="C144" s="6"/>
      <c r="D144" s="6"/>
      <c r="E144" s="6"/>
      <c r="F144" s="6"/>
      <c r="G144" s="6"/>
      <c r="R144" s="6"/>
      <c r="S144" s="6"/>
      <c r="T144" s="6"/>
      <c r="U144" s="6"/>
      <c r="V144" s="6"/>
    </row>
    <row r="145" spans="3:22">
      <c r="C145" s="6"/>
      <c r="D145" s="6"/>
      <c r="E145" s="6"/>
      <c r="F145" s="6"/>
      <c r="G145" s="6"/>
      <c r="R145" s="6"/>
      <c r="S145" s="6"/>
      <c r="T145" s="6"/>
      <c r="U145" s="6"/>
      <c r="V145" s="6"/>
    </row>
    <row r="146" spans="3:22">
      <c r="C146" s="6"/>
      <c r="D146" s="6"/>
      <c r="E146" s="6"/>
      <c r="F146" s="6"/>
      <c r="G146" s="6"/>
      <c r="R146" s="6"/>
      <c r="S146" s="6"/>
      <c r="T146" s="6"/>
      <c r="U146" s="6"/>
      <c r="V146" s="6"/>
    </row>
    <row r="147" spans="3:22">
      <c r="C147" s="6"/>
      <c r="D147" s="6"/>
      <c r="E147" s="6"/>
      <c r="F147" s="6"/>
      <c r="G147" s="6"/>
      <c r="R147" s="6"/>
      <c r="S147" s="6"/>
      <c r="T147" s="6"/>
      <c r="U147" s="6"/>
      <c r="V147" s="6"/>
    </row>
    <row r="148" spans="3:22">
      <c r="C148" s="6"/>
      <c r="D148" s="6"/>
      <c r="E148" s="6"/>
      <c r="F148" s="6"/>
      <c r="G148" s="6"/>
      <c r="R148" s="6"/>
      <c r="S148" s="6"/>
      <c r="T148" s="6"/>
      <c r="U148" s="6"/>
      <c r="V148" s="6"/>
    </row>
    <row r="149" spans="3:22">
      <c r="C149" s="6"/>
      <c r="D149" s="6"/>
      <c r="E149" s="6"/>
      <c r="F149" s="6"/>
      <c r="G149" s="6"/>
      <c r="R149" s="6"/>
      <c r="S149" s="6"/>
      <c r="T149" s="6"/>
      <c r="U149" s="6"/>
      <c r="V149" s="6"/>
    </row>
    <row r="150" spans="3:22">
      <c r="C150" s="6"/>
      <c r="D150" s="6"/>
      <c r="E150" s="6"/>
      <c r="F150" s="6"/>
      <c r="G150" s="6"/>
      <c r="R150" s="6"/>
      <c r="S150" s="6"/>
      <c r="T150" s="6"/>
      <c r="U150" s="6"/>
      <c r="V150" s="6"/>
    </row>
    <row r="151" spans="3:22">
      <c r="C151" s="6"/>
      <c r="D151" s="6"/>
      <c r="E151" s="6"/>
      <c r="F151" s="6"/>
      <c r="G151" s="6"/>
      <c r="R151" s="6"/>
      <c r="S151" s="6"/>
      <c r="T151" s="6"/>
      <c r="U151" s="6"/>
      <c r="V151" s="6"/>
    </row>
    <row r="152" spans="3:22">
      <c r="C152" s="6"/>
      <c r="D152" s="6"/>
      <c r="E152" s="6"/>
      <c r="F152" s="6"/>
      <c r="G152" s="6"/>
      <c r="R152" s="6"/>
      <c r="S152" s="6"/>
      <c r="T152" s="6"/>
      <c r="U152" s="6"/>
      <c r="V152" s="6"/>
    </row>
    <row r="153" spans="3:22">
      <c r="C153" s="6"/>
      <c r="D153" s="6"/>
      <c r="E153" s="6"/>
      <c r="F153" s="6"/>
      <c r="G153" s="6"/>
      <c r="R153" s="6"/>
      <c r="S153" s="6"/>
      <c r="T153" s="6"/>
      <c r="U153" s="6"/>
      <c r="V153" s="6"/>
    </row>
    <row r="154" spans="3:22">
      <c r="C154" s="6"/>
      <c r="D154" s="6"/>
      <c r="E154" s="6"/>
      <c r="F154" s="6"/>
      <c r="G154" s="6"/>
      <c r="R154" s="6"/>
      <c r="S154" s="6"/>
      <c r="T154" s="6"/>
      <c r="U154" s="6"/>
      <c r="V154" s="6"/>
    </row>
    <row r="155" spans="3:22">
      <c r="C155" s="6"/>
      <c r="D155" s="6"/>
      <c r="E155" s="6"/>
      <c r="F155" s="6"/>
      <c r="G155" s="6"/>
      <c r="R155" s="6"/>
      <c r="S155" s="6"/>
      <c r="T155" s="6"/>
      <c r="U155" s="6"/>
      <c r="V155" s="6"/>
    </row>
    <row r="156" spans="3:22">
      <c r="C156" s="6"/>
      <c r="D156" s="6"/>
      <c r="E156" s="6"/>
      <c r="F156" s="6"/>
      <c r="G156" s="6"/>
      <c r="R156" s="6"/>
      <c r="S156" s="6"/>
      <c r="T156" s="6"/>
      <c r="U156" s="6"/>
      <c r="V156" s="6"/>
    </row>
    <row r="157" spans="3:22">
      <c r="C157" s="6"/>
      <c r="D157" s="6"/>
      <c r="E157" s="6"/>
      <c r="F157" s="6"/>
      <c r="G157" s="6"/>
      <c r="R157" s="6"/>
      <c r="S157" s="6"/>
      <c r="T157" s="6"/>
      <c r="U157" s="6"/>
      <c r="V157" s="6"/>
    </row>
    <row r="158" spans="3:22">
      <c r="C158" s="6"/>
      <c r="D158" s="6"/>
      <c r="E158" s="6"/>
      <c r="F158" s="6"/>
      <c r="G158" s="6"/>
      <c r="R158" s="6"/>
      <c r="S158" s="6"/>
      <c r="T158" s="6"/>
      <c r="U158" s="6"/>
      <c r="V158" s="6"/>
    </row>
    <row r="159" spans="3:22">
      <c r="C159" s="6"/>
      <c r="D159" s="6"/>
      <c r="E159" s="6"/>
      <c r="F159" s="6"/>
      <c r="G159" s="6"/>
      <c r="R159" s="6"/>
      <c r="S159" s="6"/>
      <c r="T159" s="6"/>
      <c r="U159" s="6"/>
      <c r="V159" s="6"/>
    </row>
    <row r="160" spans="3:22">
      <c r="C160" s="6"/>
      <c r="D160" s="6"/>
      <c r="E160" s="6"/>
      <c r="F160" s="6"/>
      <c r="G160" s="6"/>
      <c r="R160" s="6"/>
      <c r="S160" s="6"/>
      <c r="T160" s="6"/>
      <c r="U160" s="6"/>
      <c r="V160" s="6"/>
    </row>
    <row r="161" spans="3:22">
      <c r="C161" s="6"/>
      <c r="D161" s="6"/>
      <c r="E161" s="6"/>
      <c r="F161" s="6"/>
      <c r="G161" s="6"/>
      <c r="R161" s="6"/>
      <c r="S161" s="6"/>
      <c r="T161" s="6"/>
      <c r="U161" s="6"/>
      <c r="V161" s="6"/>
    </row>
    <row r="162" spans="3:22">
      <c r="C162" s="6"/>
      <c r="D162" s="6"/>
      <c r="E162" s="6"/>
      <c r="F162" s="6"/>
      <c r="G162" s="6"/>
      <c r="R162" s="6"/>
      <c r="S162" s="6"/>
      <c r="T162" s="6"/>
      <c r="U162" s="6"/>
      <c r="V162" s="6"/>
    </row>
    <row r="163" spans="3:22">
      <c r="C163" s="6"/>
      <c r="D163" s="6"/>
      <c r="E163" s="6"/>
      <c r="F163" s="6"/>
      <c r="G163" s="6"/>
      <c r="R163" s="6"/>
      <c r="S163" s="6"/>
      <c r="T163" s="6"/>
      <c r="U163" s="6"/>
      <c r="V163" s="6"/>
    </row>
    <row r="164" spans="3:22">
      <c r="C164" s="6"/>
      <c r="D164" s="6"/>
      <c r="E164" s="6"/>
      <c r="F164" s="6"/>
      <c r="G164" s="6"/>
      <c r="R164" s="6"/>
      <c r="S164" s="6"/>
      <c r="T164" s="6"/>
      <c r="U164" s="6"/>
      <c r="V164" s="6"/>
    </row>
    <row r="165" spans="3:22">
      <c r="C165" s="6"/>
      <c r="D165" s="6"/>
      <c r="E165" s="6"/>
      <c r="F165" s="6"/>
      <c r="G165" s="6"/>
      <c r="R165" s="6"/>
      <c r="S165" s="6"/>
      <c r="T165" s="6"/>
      <c r="U165" s="6"/>
      <c r="V165" s="6"/>
    </row>
    <row r="166" spans="3:22">
      <c r="C166" s="6"/>
      <c r="D166" s="6"/>
      <c r="E166" s="6"/>
      <c r="F166" s="6"/>
      <c r="G166" s="6"/>
      <c r="R166" s="6"/>
      <c r="S166" s="6"/>
      <c r="T166" s="6"/>
      <c r="U166" s="6"/>
      <c r="V166" s="6"/>
    </row>
    <row r="167" spans="3:22">
      <c r="C167" s="6"/>
      <c r="D167" s="6"/>
      <c r="E167" s="6"/>
      <c r="F167" s="6"/>
      <c r="G167" s="6"/>
      <c r="R167" s="6"/>
      <c r="S167" s="6"/>
      <c r="T167" s="6"/>
      <c r="U167" s="6"/>
      <c r="V167" s="6"/>
    </row>
    <row r="168" spans="3:22">
      <c r="C168" s="6"/>
      <c r="D168" s="6"/>
      <c r="E168" s="6"/>
      <c r="F168" s="6"/>
      <c r="G168" s="6"/>
      <c r="R168" s="6"/>
      <c r="S168" s="6"/>
      <c r="T168" s="6"/>
      <c r="U168" s="6"/>
      <c r="V168" s="6"/>
    </row>
    <row r="169" spans="3:22">
      <c r="C169" s="6"/>
      <c r="D169" s="6"/>
      <c r="E169" s="6"/>
      <c r="F169" s="6"/>
      <c r="G169" s="6"/>
      <c r="R169" s="6"/>
      <c r="S169" s="6"/>
      <c r="T169" s="6"/>
      <c r="U169" s="6"/>
      <c r="V169" s="6"/>
    </row>
    <row r="170" spans="3:22">
      <c r="C170" s="6"/>
      <c r="D170" s="6"/>
      <c r="E170" s="6"/>
      <c r="F170" s="6"/>
      <c r="G170" s="6"/>
      <c r="R170" s="6"/>
      <c r="S170" s="6"/>
      <c r="T170" s="6"/>
      <c r="U170" s="6"/>
      <c r="V170" s="6"/>
    </row>
    <row r="171" spans="3:22">
      <c r="C171" s="6"/>
      <c r="D171" s="6"/>
      <c r="E171" s="6"/>
      <c r="F171" s="6"/>
      <c r="G171" s="6"/>
      <c r="R171" s="6"/>
      <c r="S171" s="6"/>
      <c r="T171" s="6"/>
      <c r="U171" s="6"/>
      <c r="V171" s="6"/>
    </row>
    <row r="172" spans="3:22">
      <c r="C172" s="6"/>
      <c r="D172" s="6"/>
      <c r="E172" s="6"/>
      <c r="F172" s="6"/>
      <c r="G172" s="6"/>
      <c r="R172" s="6"/>
      <c r="S172" s="6"/>
      <c r="T172" s="6"/>
      <c r="U172" s="6"/>
      <c r="V172" s="6"/>
    </row>
    <row r="173" spans="3:22">
      <c r="C173" s="6"/>
      <c r="D173" s="6"/>
      <c r="E173" s="6"/>
      <c r="F173" s="6"/>
      <c r="G173" s="6"/>
      <c r="R173" s="6"/>
      <c r="S173" s="6"/>
      <c r="T173" s="6"/>
      <c r="U173" s="6"/>
      <c r="V173" s="6"/>
    </row>
    <row r="174" spans="3:22">
      <c r="C174" s="6"/>
      <c r="D174" s="6"/>
      <c r="E174" s="6"/>
      <c r="F174" s="6"/>
      <c r="G174" s="6"/>
      <c r="R174" s="6"/>
      <c r="S174" s="6"/>
      <c r="T174" s="6"/>
      <c r="U174" s="6"/>
      <c r="V174" s="6"/>
    </row>
    <row r="175" spans="3:22">
      <c r="C175" s="6"/>
      <c r="D175" s="6"/>
      <c r="E175" s="6"/>
      <c r="F175" s="6"/>
      <c r="G175" s="6"/>
      <c r="R175" s="6"/>
      <c r="S175" s="6"/>
      <c r="T175" s="6"/>
      <c r="U175" s="6"/>
      <c r="V175" s="6"/>
    </row>
    <row r="176" spans="3:22">
      <c r="C176" s="6"/>
      <c r="D176" s="6"/>
      <c r="E176" s="6"/>
      <c r="F176" s="6"/>
      <c r="G176" s="6"/>
      <c r="R176" s="6"/>
      <c r="S176" s="6"/>
      <c r="T176" s="6"/>
      <c r="U176" s="6"/>
      <c r="V176" s="6"/>
    </row>
    <row r="177" spans="3:22">
      <c r="C177" s="6"/>
      <c r="D177" s="6"/>
      <c r="E177" s="6"/>
      <c r="F177" s="6"/>
      <c r="G177" s="6"/>
      <c r="R177" s="6"/>
      <c r="S177" s="6"/>
      <c r="T177" s="6"/>
      <c r="U177" s="6"/>
      <c r="V177" s="6"/>
    </row>
    <row r="178" spans="3:22">
      <c r="C178" s="6"/>
      <c r="D178" s="6"/>
      <c r="E178" s="6"/>
      <c r="F178" s="6"/>
      <c r="G178" s="6"/>
      <c r="R178" s="6"/>
      <c r="S178" s="6"/>
      <c r="T178" s="6"/>
      <c r="U178" s="6"/>
      <c r="V178" s="6"/>
    </row>
    <row r="179" spans="3:22">
      <c r="C179" s="6"/>
      <c r="D179" s="6"/>
      <c r="E179" s="6"/>
      <c r="F179" s="6"/>
      <c r="G179" s="6"/>
      <c r="R179" s="6"/>
      <c r="S179" s="6"/>
      <c r="T179" s="6"/>
      <c r="U179" s="6"/>
      <c r="V179" s="6"/>
    </row>
    <row r="180" spans="3:22">
      <c r="C180" s="6"/>
      <c r="D180" s="6"/>
      <c r="E180" s="6"/>
      <c r="F180" s="6"/>
      <c r="G180" s="6"/>
      <c r="R180" s="6"/>
      <c r="S180" s="6"/>
      <c r="T180" s="6"/>
      <c r="U180" s="6"/>
      <c r="V180" s="6"/>
    </row>
    <row r="181" spans="3:22">
      <c r="C181" s="6"/>
      <c r="D181" s="6"/>
      <c r="E181" s="6"/>
      <c r="F181" s="6"/>
      <c r="G181" s="6"/>
      <c r="R181" s="6"/>
      <c r="S181" s="6"/>
      <c r="T181" s="6"/>
      <c r="U181" s="6"/>
      <c r="V181" s="6"/>
    </row>
    <row r="182" spans="3:22">
      <c r="C182" s="6"/>
      <c r="D182" s="6"/>
      <c r="E182" s="6"/>
      <c r="F182" s="6"/>
      <c r="G182" s="6"/>
      <c r="R182" s="6"/>
      <c r="S182" s="6"/>
      <c r="T182" s="6"/>
      <c r="U182" s="6"/>
      <c r="V182" s="6"/>
    </row>
    <row r="183" spans="3:22">
      <c r="C183" s="6"/>
      <c r="D183" s="6"/>
      <c r="E183" s="6"/>
      <c r="F183" s="6"/>
      <c r="G183" s="6"/>
      <c r="R183" s="6"/>
      <c r="S183" s="6"/>
      <c r="T183" s="6"/>
      <c r="U183" s="6"/>
      <c r="V183" s="6"/>
    </row>
    <row r="184" spans="3:22">
      <c r="C184" s="6"/>
      <c r="D184" s="6"/>
      <c r="E184" s="6"/>
      <c r="F184" s="6"/>
      <c r="G184" s="6"/>
      <c r="R184" s="6"/>
      <c r="S184" s="6"/>
      <c r="T184" s="6"/>
      <c r="U184" s="6"/>
      <c r="V184" s="6"/>
    </row>
    <row r="185" spans="3:22">
      <c r="C185" s="6"/>
      <c r="D185" s="6"/>
      <c r="E185" s="6"/>
      <c r="F185" s="6"/>
      <c r="G185" s="6"/>
      <c r="R185" s="6"/>
      <c r="S185" s="6"/>
      <c r="T185" s="6"/>
      <c r="U185" s="6"/>
      <c r="V185" s="6"/>
    </row>
    <row r="186" spans="3:22">
      <c r="C186" s="6"/>
      <c r="D186" s="6"/>
      <c r="E186" s="6"/>
      <c r="F186" s="6"/>
      <c r="G186" s="6"/>
      <c r="R186" s="6"/>
      <c r="S186" s="6"/>
      <c r="T186" s="6"/>
      <c r="U186" s="6"/>
      <c r="V186" s="6"/>
    </row>
    <row r="187" spans="3:22">
      <c r="C187" s="6"/>
      <c r="D187" s="6"/>
      <c r="E187" s="6"/>
      <c r="F187" s="6"/>
      <c r="G187" s="6"/>
      <c r="R187" s="6"/>
      <c r="S187" s="6"/>
      <c r="T187" s="6"/>
      <c r="U187" s="6"/>
      <c r="V187" s="6"/>
    </row>
    <row r="188" spans="3:22">
      <c r="C188" s="6"/>
      <c r="D188" s="6"/>
      <c r="E188" s="6"/>
      <c r="F188" s="6"/>
      <c r="G188" s="6"/>
      <c r="R188" s="6"/>
      <c r="S188" s="6"/>
      <c r="T188" s="6"/>
      <c r="U188" s="6"/>
      <c r="V188" s="6"/>
    </row>
    <row r="189" spans="3:22">
      <c r="C189" s="6"/>
      <c r="D189" s="6"/>
      <c r="E189" s="6"/>
      <c r="F189" s="6"/>
      <c r="G189" s="6"/>
      <c r="R189" s="6"/>
      <c r="S189" s="6"/>
      <c r="T189" s="6"/>
      <c r="U189" s="6"/>
      <c r="V189" s="6"/>
    </row>
    <row r="190" spans="3:22">
      <c r="C190" s="6"/>
      <c r="D190" s="6"/>
      <c r="E190" s="6"/>
      <c r="F190" s="6"/>
      <c r="G190" s="6"/>
      <c r="R190" s="6"/>
      <c r="S190" s="6"/>
      <c r="T190" s="6"/>
      <c r="U190" s="6"/>
      <c r="V190" s="6"/>
    </row>
    <row r="191" spans="3:22">
      <c r="C191" s="6"/>
      <c r="D191" s="6"/>
      <c r="E191" s="6"/>
      <c r="F191" s="6"/>
      <c r="G191" s="6"/>
      <c r="R191" s="6"/>
      <c r="S191" s="6"/>
      <c r="T191" s="6"/>
      <c r="U191" s="6"/>
      <c r="V191" s="6"/>
    </row>
    <row r="192" spans="3:22">
      <c r="C192" s="6"/>
      <c r="D192" s="6"/>
      <c r="E192" s="6"/>
      <c r="F192" s="6"/>
      <c r="G192" s="6"/>
      <c r="R192" s="6"/>
      <c r="S192" s="6"/>
      <c r="T192" s="6"/>
      <c r="U192" s="6"/>
      <c r="V192" s="6"/>
    </row>
    <row r="193" spans="3:22">
      <c r="C193" s="6"/>
      <c r="D193" s="6"/>
      <c r="E193" s="6"/>
      <c r="F193" s="6"/>
      <c r="G193" s="6"/>
      <c r="R193" s="6"/>
      <c r="S193" s="6"/>
      <c r="T193" s="6"/>
      <c r="U193" s="6"/>
      <c r="V193" s="6"/>
    </row>
    <row r="194" spans="3:22">
      <c r="C194" s="6"/>
      <c r="D194" s="6"/>
      <c r="E194" s="6"/>
      <c r="F194" s="6"/>
      <c r="G194" s="6"/>
      <c r="R194" s="6"/>
      <c r="S194" s="6"/>
      <c r="T194" s="6"/>
      <c r="U194" s="6"/>
      <c r="V194" s="6"/>
    </row>
    <row r="195" spans="3:22">
      <c r="C195" s="6"/>
      <c r="D195" s="6"/>
      <c r="E195" s="6"/>
      <c r="F195" s="6"/>
      <c r="G195" s="6"/>
      <c r="R195" s="6"/>
      <c r="S195" s="6"/>
      <c r="T195" s="6"/>
      <c r="U195" s="6"/>
      <c r="V195" s="6"/>
    </row>
    <row r="196" spans="3:22">
      <c r="C196" s="6"/>
      <c r="D196" s="6"/>
      <c r="E196" s="6"/>
      <c r="F196" s="6"/>
      <c r="G196" s="6"/>
      <c r="R196" s="6"/>
      <c r="S196" s="6"/>
      <c r="T196" s="6"/>
      <c r="U196" s="6"/>
      <c r="V196" s="6"/>
    </row>
    <row r="197" spans="3:22">
      <c r="C197" s="6"/>
      <c r="D197" s="6"/>
      <c r="E197" s="6"/>
      <c r="F197" s="6"/>
      <c r="G197" s="6"/>
      <c r="R197" s="6"/>
      <c r="S197" s="6"/>
      <c r="T197" s="6"/>
      <c r="U197" s="6"/>
      <c r="V197" s="6"/>
    </row>
    <row r="198" spans="3:22">
      <c r="C198" s="6"/>
      <c r="D198" s="6"/>
      <c r="E198" s="6"/>
      <c r="F198" s="6"/>
      <c r="G198" s="6"/>
      <c r="R198" s="6"/>
      <c r="S198" s="6"/>
      <c r="T198" s="6"/>
      <c r="U198" s="6"/>
      <c r="V198" s="6"/>
    </row>
    <row r="199" spans="3:22">
      <c r="C199" s="6"/>
      <c r="D199" s="6"/>
      <c r="E199" s="6"/>
      <c r="F199" s="6"/>
      <c r="G199" s="6"/>
      <c r="R199" s="6"/>
      <c r="S199" s="6"/>
      <c r="T199" s="6"/>
      <c r="U199" s="6"/>
      <c r="V199" s="6"/>
    </row>
    <row r="200" spans="3:22">
      <c r="C200" s="6"/>
      <c r="D200" s="6"/>
      <c r="E200" s="6"/>
      <c r="F200" s="6"/>
      <c r="G200" s="6"/>
      <c r="R200" s="6"/>
      <c r="S200" s="6"/>
      <c r="T200" s="6"/>
      <c r="U200" s="6"/>
      <c r="V200" s="6"/>
    </row>
    <row r="201" spans="3:22">
      <c r="C201" s="6"/>
      <c r="D201" s="6"/>
      <c r="E201" s="6"/>
      <c r="F201" s="6"/>
      <c r="G201" s="6"/>
      <c r="R201" s="6"/>
      <c r="S201" s="6"/>
      <c r="T201" s="6"/>
      <c r="U201" s="6"/>
      <c r="V201" s="6"/>
    </row>
    <row r="202" spans="3:22">
      <c r="C202" s="6"/>
      <c r="D202" s="6"/>
      <c r="E202" s="6"/>
      <c r="F202" s="6"/>
      <c r="G202" s="6"/>
      <c r="R202" s="6"/>
      <c r="S202" s="6"/>
      <c r="T202" s="6"/>
      <c r="U202" s="6"/>
      <c r="V202" s="6"/>
    </row>
    <row r="203" spans="3:22">
      <c r="C203" s="6"/>
      <c r="D203" s="6"/>
      <c r="E203" s="6"/>
      <c r="F203" s="6"/>
      <c r="G203" s="6"/>
      <c r="R203" s="6"/>
      <c r="S203" s="6"/>
      <c r="T203" s="6"/>
      <c r="U203" s="6"/>
      <c r="V203" s="6"/>
    </row>
    <row r="204" spans="3:22">
      <c r="C204" s="6"/>
      <c r="D204" s="6"/>
      <c r="E204" s="6"/>
      <c r="F204" s="6"/>
      <c r="G204" s="6"/>
      <c r="R204" s="6"/>
      <c r="S204" s="6"/>
      <c r="T204" s="6"/>
      <c r="U204" s="6"/>
      <c r="V204" s="6"/>
    </row>
    <row r="205" spans="3:22">
      <c r="C205" s="6"/>
      <c r="D205" s="6"/>
      <c r="E205" s="6"/>
      <c r="F205" s="6"/>
      <c r="G205" s="6"/>
      <c r="R205" s="6"/>
      <c r="S205" s="6"/>
      <c r="T205" s="6"/>
      <c r="U205" s="6"/>
      <c r="V205" s="6"/>
    </row>
    <row r="206" spans="3:22">
      <c r="C206" s="6"/>
      <c r="D206" s="6"/>
      <c r="E206" s="6"/>
      <c r="F206" s="6"/>
      <c r="G206" s="6"/>
      <c r="R206" s="6"/>
      <c r="S206" s="6"/>
      <c r="T206" s="6"/>
      <c r="U206" s="6"/>
      <c r="V206" s="6"/>
    </row>
    <row r="207" spans="3:22">
      <c r="C207" s="6"/>
      <c r="D207" s="6"/>
      <c r="E207" s="6"/>
      <c r="F207" s="6"/>
      <c r="G207" s="6"/>
      <c r="R207" s="6"/>
      <c r="S207" s="6"/>
      <c r="T207" s="6"/>
      <c r="U207" s="6"/>
      <c r="V207" s="6"/>
    </row>
    <row r="208" spans="3:22">
      <c r="C208" s="6"/>
      <c r="D208" s="6"/>
      <c r="E208" s="6"/>
      <c r="F208" s="6"/>
      <c r="G208" s="6"/>
      <c r="R208" s="6"/>
      <c r="S208" s="6"/>
      <c r="T208" s="6"/>
      <c r="U208" s="6"/>
      <c r="V208" s="6"/>
    </row>
    <row r="209" spans="3:22">
      <c r="C209" s="6"/>
      <c r="D209" s="6"/>
      <c r="E209" s="6"/>
      <c r="F209" s="6"/>
      <c r="G209" s="6"/>
      <c r="R209" s="6"/>
      <c r="S209" s="6"/>
      <c r="T209" s="6"/>
      <c r="U209" s="6"/>
      <c r="V209" s="6"/>
    </row>
    <row r="210" spans="3:22">
      <c r="C210" s="6"/>
      <c r="D210" s="6"/>
      <c r="E210" s="6"/>
      <c r="F210" s="6"/>
      <c r="G210" s="6"/>
      <c r="R210" s="6"/>
      <c r="S210" s="6"/>
      <c r="T210" s="6"/>
      <c r="U210" s="6"/>
      <c r="V210" s="6"/>
    </row>
    <row r="211" spans="3:22">
      <c r="C211" s="6"/>
      <c r="D211" s="6"/>
      <c r="E211" s="6"/>
      <c r="F211" s="6"/>
      <c r="G211" s="6"/>
      <c r="R211" s="6"/>
      <c r="S211" s="6"/>
      <c r="T211" s="6"/>
      <c r="U211" s="6"/>
      <c r="V211" s="6"/>
    </row>
    <row r="212" spans="3:22">
      <c r="C212" s="6"/>
      <c r="D212" s="6"/>
      <c r="E212" s="6"/>
      <c r="F212" s="6"/>
      <c r="G212" s="6"/>
      <c r="R212" s="6"/>
      <c r="S212" s="6"/>
      <c r="T212" s="6"/>
      <c r="U212" s="6"/>
      <c r="V212" s="6"/>
    </row>
    <row r="213" spans="3:22">
      <c r="C213" s="6"/>
      <c r="D213" s="6"/>
      <c r="E213" s="6"/>
      <c r="F213" s="6"/>
      <c r="G213" s="6"/>
      <c r="R213" s="6"/>
      <c r="S213" s="6"/>
      <c r="T213" s="6"/>
      <c r="U213" s="6"/>
      <c r="V213" s="6"/>
    </row>
    <row r="214" spans="3:22">
      <c r="C214" s="6"/>
      <c r="D214" s="6"/>
      <c r="E214" s="6"/>
      <c r="F214" s="6"/>
      <c r="G214" s="6"/>
      <c r="R214" s="6"/>
      <c r="S214" s="6"/>
      <c r="T214" s="6"/>
      <c r="U214" s="6"/>
      <c r="V214" s="6"/>
    </row>
    <row r="215" spans="3:22">
      <c r="C215" s="6"/>
      <c r="D215" s="6"/>
      <c r="E215" s="6"/>
      <c r="F215" s="6"/>
      <c r="G215" s="6"/>
      <c r="R215" s="6"/>
      <c r="S215" s="6"/>
      <c r="T215" s="6"/>
      <c r="U215" s="6"/>
      <c r="V215" s="6"/>
    </row>
    <row r="216" spans="3:22">
      <c r="C216" s="6"/>
      <c r="D216" s="6"/>
      <c r="E216" s="6"/>
      <c r="F216" s="6"/>
      <c r="G216" s="6"/>
      <c r="R216" s="6"/>
      <c r="S216" s="6"/>
      <c r="T216" s="6"/>
      <c r="U216" s="6"/>
      <c r="V216" s="6"/>
    </row>
    <row r="217" spans="3:22">
      <c r="C217" s="6"/>
      <c r="D217" s="6"/>
      <c r="E217" s="6"/>
      <c r="F217" s="6"/>
      <c r="G217" s="6"/>
      <c r="R217" s="6"/>
      <c r="S217" s="6"/>
      <c r="T217" s="6"/>
      <c r="U217" s="6"/>
      <c r="V217" s="6"/>
    </row>
    <row r="218" spans="3:22">
      <c r="C218" s="6"/>
      <c r="D218" s="6"/>
      <c r="E218" s="6"/>
      <c r="F218" s="6"/>
      <c r="G218" s="6"/>
      <c r="R218" s="6"/>
      <c r="S218" s="6"/>
      <c r="T218" s="6"/>
      <c r="U218" s="6"/>
      <c r="V218" s="6"/>
    </row>
    <row r="219" spans="3:22">
      <c r="C219" s="6"/>
      <c r="D219" s="6"/>
      <c r="E219" s="6"/>
      <c r="F219" s="6"/>
      <c r="G219" s="6"/>
      <c r="R219" s="6"/>
      <c r="S219" s="6"/>
      <c r="T219" s="6"/>
      <c r="U219" s="6"/>
      <c r="V219" s="6"/>
    </row>
    <row r="220" spans="3:22">
      <c r="C220" s="6"/>
      <c r="D220" s="6"/>
      <c r="E220" s="6"/>
      <c r="F220" s="6"/>
      <c r="G220" s="6"/>
      <c r="R220" s="6"/>
      <c r="S220" s="6"/>
      <c r="T220" s="6"/>
      <c r="U220" s="6"/>
      <c r="V220" s="6"/>
    </row>
    <row r="221" spans="3:22">
      <c r="C221" s="6"/>
      <c r="D221" s="6"/>
      <c r="E221" s="6"/>
      <c r="F221" s="6"/>
      <c r="G221" s="6"/>
      <c r="R221" s="6"/>
      <c r="S221" s="6"/>
      <c r="T221" s="6"/>
      <c r="U221" s="6"/>
      <c r="V221" s="6"/>
    </row>
    <row r="222" spans="3:22">
      <c r="C222" s="6"/>
      <c r="D222" s="6"/>
      <c r="E222" s="6"/>
      <c r="F222" s="6"/>
      <c r="G222" s="6"/>
      <c r="R222" s="6"/>
      <c r="S222" s="6"/>
      <c r="T222" s="6"/>
      <c r="U222" s="6"/>
      <c r="V222" s="6"/>
    </row>
    <row r="223" spans="3:22">
      <c r="C223" s="6"/>
      <c r="D223" s="6"/>
      <c r="E223" s="6"/>
      <c r="F223" s="6"/>
      <c r="G223" s="6"/>
      <c r="R223" s="6"/>
      <c r="S223" s="6"/>
      <c r="T223" s="6"/>
      <c r="U223" s="6"/>
      <c r="V223" s="6"/>
    </row>
    <row r="224" spans="3:22">
      <c r="C224" s="6"/>
      <c r="D224" s="6"/>
      <c r="E224" s="6"/>
      <c r="F224" s="6"/>
      <c r="G224" s="6"/>
      <c r="R224" s="6"/>
      <c r="S224" s="6"/>
      <c r="T224" s="6"/>
      <c r="U224" s="6"/>
      <c r="V224" s="6"/>
    </row>
    <row r="225" spans="3:22">
      <c r="C225" s="6"/>
      <c r="D225" s="6"/>
      <c r="E225" s="6"/>
      <c r="F225" s="6"/>
      <c r="G225" s="6"/>
      <c r="R225" s="6"/>
      <c r="S225" s="6"/>
      <c r="T225" s="6"/>
      <c r="U225" s="6"/>
      <c r="V225" s="6"/>
    </row>
    <row r="226" spans="3:22">
      <c r="C226" s="6"/>
      <c r="D226" s="6"/>
      <c r="E226" s="6"/>
      <c r="F226" s="6"/>
      <c r="G226" s="6"/>
      <c r="R226" s="6"/>
      <c r="S226" s="6"/>
      <c r="T226" s="6"/>
      <c r="U226" s="6"/>
      <c r="V226" s="6"/>
    </row>
    <row r="227" spans="3:22">
      <c r="C227" s="6"/>
      <c r="D227" s="6"/>
      <c r="E227" s="6"/>
      <c r="F227" s="6"/>
      <c r="G227" s="6"/>
      <c r="R227" s="6"/>
      <c r="S227" s="6"/>
      <c r="T227" s="6"/>
      <c r="U227" s="6"/>
      <c r="V227" s="6"/>
    </row>
    <row r="228" spans="3:22">
      <c r="C228" s="6"/>
      <c r="D228" s="6"/>
      <c r="E228" s="6"/>
      <c r="F228" s="6"/>
      <c r="G228" s="6"/>
      <c r="R228" s="6"/>
      <c r="S228" s="6"/>
      <c r="T228" s="6"/>
      <c r="U228" s="6"/>
      <c r="V228" s="6"/>
    </row>
    <row r="229" spans="3:22">
      <c r="C229" s="6"/>
      <c r="D229" s="6"/>
      <c r="E229" s="6"/>
      <c r="F229" s="6"/>
      <c r="G229" s="6"/>
      <c r="R229" s="6"/>
      <c r="S229" s="6"/>
      <c r="T229" s="6"/>
      <c r="U229" s="6"/>
      <c r="V229" s="6"/>
    </row>
    <row r="230" spans="3:22">
      <c r="C230" s="6"/>
      <c r="D230" s="6"/>
      <c r="E230" s="6"/>
      <c r="F230" s="6"/>
      <c r="G230" s="6"/>
      <c r="R230" s="6"/>
      <c r="S230" s="6"/>
      <c r="T230" s="6"/>
      <c r="U230" s="6"/>
      <c r="V230" s="6"/>
    </row>
    <row r="231" spans="3:22">
      <c r="C231" s="6"/>
      <c r="D231" s="6"/>
      <c r="E231" s="6"/>
      <c r="F231" s="6"/>
      <c r="G231" s="6"/>
      <c r="R231" s="6"/>
      <c r="S231" s="6"/>
      <c r="T231" s="6"/>
      <c r="U231" s="6"/>
      <c r="V231" s="6"/>
    </row>
    <row r="232" spans="3:22">
      <c r="C232" s="6"/>
      <c r="D232" s="6"/>
      <c r="E232" s="6"/>
      <c r="F232" s="6"/>
      <c r="G232" s="6"/>
      <c r="R232" s="6"/>
      <c r="S232" s="6"/>
      <c r="T232" s="6"/>
      <c r="U232" s="6"/>
      <c r="V232" s="6"/>
    </row>
    <row r="233" spans="3:22">
      <c r="C233" s="6"/>
      <c r="D233" s="6"/>
      <c r="E233" s="6"/>
      <c r="F233" s="6"/>
      <c r="G233" s="6"/>
      <c r="R233" s="6"/>
      <c r="S233" s="6"/>
      <c r="T233" s="6"/>
      <c r="U233" s="6"/>
      <c r="V233" s="6"/>
    </row>
    <row r="234" spans="3:22">
      <c r="C234" s="6"/>
      <c r="D234" s="6"/>
      <c r="E234" s="6"/>
      <c r="F234" s="6"/>
      <c r="G234" s="6"/>
      <c r="R234" s="6"/>
      <c r="S234" s="6"/>
      <c r="T234" s="6"/>
      <c r="U234" s="6"/>
      <c r="V234" s="6"/>
    </row>
    <row r="235" spans="3:22">
      <c r="C235" s="6"/>
      <c r="D235" s="6"/>
      <c r="E235" s="6"/>
      <c r="F235" s="6"/>
      <c r="G235" s="6"/>
      <c r="R235" s="6"/>
      <c r="S235" s="6"/>
      <c r="T235" s="6"/>
      <c r="U235" s="6"/>
      <c r="V235" s="6"/>
    </row>
    <row r="236" spans="3:22">
      <c r="C236" s="6"/>
      <c r="D236" s="6"/>
      <c r="E236" s="6"/>
      <c r="F236" s="6"/>
      <c r="G236" s="6"/>
      <c r="R236" s="6"/>
      <c r="S236" s="6"/>
      <c r="T236" s="6"/>
      <c r="U236" s="6"/>
      <c r="V236" s="6"/>
    </row>
    <row r="237" spans="3:22">
      <c r="C237" s="6"/>
      <c r="D237" s="6"/>
      <c r="E237" s="6"/>
      <c r="F237" s="6"/>
      <c r="G237" s="6"/>
      <c r="R237" s="6"/>
      <c r="S237" s="6"/>
      <c r="T237" s="6"/>
      <c r="U237" s="6"/>
      <c r="V237" s="6"/>
    </row>
    <row r="238" spans="3:22">
      <c r="C238" s="6"/>
      <c r="D238" s="6"/>
      <c r="E238" s="6"/>
      <c r="F238" s="6"/>
      <c r="G238" s="6"/>
      <c r="R238" s="6"/>
      <c r="S238" s="6"/>
      <c r="T238" s="6"/>
      <c r="U238" s="6"/>
      <c r="V238" s="6"/>
    </row>
    <row r="239" spans="3:22">
      <c r="C239" s="6"/>
      <c r="D239" s="6"/>
      <c r="E239" s="6"/>
      <c r="F239" s="6"/>
      <c r="G239" s="6"/>
      <c r="R239" s="6"/>
      <c r="S239" s="6"/>
      <c r="T239" s="6"/>
      <c r="U239" s="6"/>
      <c r="V239" s="6"/>
    </row>
    <row r="240" spans="3:22">
      <c r="C240" s="6"/>
      <c r="D240" s="6"/>
      <c r="E240" s="6"/>
      <c r="F240" s="6"/>
      <c r="G240" s="6"/>
      <c r="R240" s="6"/>
      <c r="S240" s="6"/>
      <c r="T240" s="6"/>
      <c r="U240" s="6"/>
      <c r="V240" s="6"/>
    </row>
    <row r="241" spans="3:22">
      <c r="C241" s="6"/>
      <c r="D241" s="6"/>
      <c r="E241" s="6"/>
      <c r="F241" s="6"/>
      <c r="G241" s="6"/>
      <c r="R241" s="6"/>
      <c r="S241" s="6"/>
      <c r="T241" s="6"/>
      <c r="U241" s="6"/>
      <c r="V241" s="6"/>
    </row>
    <row r="242" spans="3:22">
      <c r="C242" s="6"/>
      <c r="D242" s="6"/>
      <c r="E242" s="6"/>
      <c r="F242" s="6"/>
      <c r="G242" s="6"/>
      <c r="R242" s="6"/>
      <c r="S242" s="6"/>
      <c r="T242" s="6"/>
      <c r="U242" s="6"/>
      <c r="V242" s="6"/>
    </row>
    <row r="243" spans="3:22">
      <c r="C243" s="6"/>
      <c r="D243" s="6"/>
      <c r="E243" s="6"/>
      <c r="F243" s="6"/>
      <c r="G243" s="6"/>
      <c r="R243" s="6"/>
      <c r="S243" s="6"/>
      <c r="T243" s="6"/>
      <c r="U243" s="6"/>
      <c r="V243" s="6"/>
    </row>
    <row r="244" spans="3:22">
      <c r="C244" s="6"/>
      <c r="D244" s="6"/>
      <c r="E244" s="6"/>
      <c r="F244" s="6"/>
      <c r="G244" s="6"/>
      <c r="R244" s="6"/>
      <c r="S244" s="6"/>
      <c r="T244" s="6"/>
      <c r="U244" s="6"/>
      <c r="V244" s="6"/>
    </row>
    <row r="245" spans="3:22">
      <c r="C245" s="6"/>
      <c r="D245" s="6"/>
      <c r="E245" s="6"/>
      <c r="F245" s="6"/>
      <c r="G245" s="6"/>
      <c r="R245" s="6"/>
      <c r="S245" s="6"/>
      <c r="T245" s="6"/>
      <c r="U245" s="6"/>
      <c r="V245" s="6"/>
    </row>
    <row r="246" spans="3:22">
      <c r="C246" s="6"/>
      <c r="D246" s="6"/>
      <c r="E246" s="6"/>
      <c r="F246" s="6"/>
      <c r="G246" s="6"/>
      <c r="R246" s="6"/>
      <c r="S246" s="6"/>
      <c r="T246" s="6"/>
      <c r="U246" s="6"/>
      <c r="V246" s="6"/>
    </row>
    <row r="247" spans="3:22">
      <c r="C247" s="6"/>
      <c r="D247" s="6"/>
      <c r="E247" s="6"/>
      <c r="F247" s="6"/>
      <c r="G247" s="6"/>
      <c r="R247" s="6"/>
      <c r="S247" s="6"/>
      <c r="T247" s="6"/>
      <c r="U247" s="6"/>
      <c r="V247" s="6"/>
    </row>
    <row r="248" spans="3:22">
      <c r="C248" s="6"/>
      <c r="D248" s="6"/>
      <c r="E248" s="6"/>
      <c r="F248" s="6"/>
      <c r="G248" s="6"/>
      <c r="R248" s="6"/>
      <c r="S248" s="6"/>
      <c r="T248" s="6"/>
      <c r="U248" s="6"/>
      <c r="V248" s="6"/>
    </row>
    <row r="249" spans="3:22">
      <c r="C249" s="6"/>
      <c r="D249" s="6"/>
      <c r="E249" s="6"/>
      <c r="F249" s="6"/>
      <c r="G249" s="6"/>
      <c r="R249" s="6"/>
      <c r="S249" s="6"/>
      <c r="T249" s="6"/>
      <c r="U249" s="6"/>
      <c r="V249" s="6"/>
    </row>
    <row r="250" spans="3:22">
      <c r="C250" s="6"/>
      <c r="D250" s="6"/>
      <c r="E250" s="6"/>
      <c r="F250" s="6"/>
      <c r="G250" s="6"/>
      <c r="R250" s="6"/>
      <c r="S250" s="6"/>
      <c r="T250" s="6"/>
      <c r="U250" s="6"/>
      <c r="V250" s="6"/>
    </row>
    <row r="251" spans="3:22">
      <c r="C251" s="6"/>
      <c r="D251" s="6"/>
      <c r="E251" s="6"/>
      <c r="F251" s="6"/>
      <c r="G251" s="6"/>
      <c r="R251" s="6"/>
      <c r="S251" s="6"/>
      <c r="T251" s="6"/>
      <c r="U251" s="6"/>
      <c r="V251" s="6"/>
    </row>
    <row r="252" spans="3:22">
      <c r="C252" s="6"/>
      <c r="D252" s="6"/>
      <c r="E252" s="6"/>
      <c r="F252" s="6"/>
      <c r="G252" s="6"/>
      <c r="R252" s="6"/>
      <c r="S252" s="6"/>
      <c r="T252" s="6"/>
      <c r="U252" s="6"/>
      <c r="V252" s="6"/>
    </row>
    <row r="253" spans="3:22">
      <c r="C253" s="6"/>
      <c r="D253" s="6"/>
      <c r="E253" s="6"/>
      <c r="F253" s="6"/>
      <c r="G253" s="6"/>
      <c r="R253" s="6"/>
      <c r="S253" s="6"/>
      <c r="T253" s="6"/>
      <c r="U253" s="6"/>
      <c r="V253" s="6"/>
    </row>
    <row r="254" spans="3:22">
      <c r="C254" s="6"/>
      <c r="D254" s="6"/>
      <c r="E254" s="6"/>
      <c r="F254" s="6"/>
      <c r="G254" s="6"/>
      <c r="R254" s="6"/>
      <c r="S254" s="6"/>
      <c r="T254" s="6"/>
      <c r="U254" s="6"/>
      <c r="V254" s="6"/>
    </row>
    <row r="255" spans="3:22">
      <c r="C255" s="6"/>
      <c r="D255" s="6"/>
      <c r="E255" s="6"/>
      <c r="F255" s="6"/>
      <c r="G255" s="6"/>
      <c r="R255" s="6"/>
      <c r="S255" s="6"/>
      <c r="T255" s="6"/>
      <c r="U255" s="6"/>
      <c r="V255" s="6"/>
    </row>
    <row r="256" spans="3:22">
      <c r="C256" s="6"/>
      <c r="D256" s="6"/>
      <c r="E256" s="6"/>
      <c r="F256" s="6"/>
      <c r="G256" s="6"/>
      <c r="R256" s="6"/>
      <c r="S256" s="6"/>
      <c r="T256" s="6"/>
      <c r="U256" s="6"/>
      <c r="V256" s="6"/>
    </row>
    <row r="257" spans="3:22">
      <c r="C257" s="6"/>
      <c r="D257" s="6"/>
      <c r="E257" s="6"/>
      <c r="F257" s="6"/>
      <c r="G257" s="6"/>
      <c r="R257" s="6"/>
      <c r="S257" s="6"/>
      <c r="T257" s="6"/>
      <c r="U257" s="6"/>
      <c r="V257" s="6"/>
    </row>
    <row r="258" spans="3:22">
      <c r="C258" s="6"/>
      <c r="D258" s="6"/>
      <c r="E258" s="6"/>
      <c r="F258" s="6"/>
      <c r="G258" s="6"/>
      <c r="R258" s="6"/>
      <c r="S258" s="6"/>
      <c r="T258" s="6"/>
      <c r="U258" s="6"/>
      <c r="V258" s="6"/>
    </row>
    <row r="259" spans="3:22">
      <c r="C259" s="6"/>
      <c r="D259" s="6"/>
      <c r="E259" s="6"/>
      <c r="F259" s="6"/>
      <c r="G259" s="6"/>
      <c r="R259" s="6"/>
      <c r="S259" s="6"/>
      <c r="T259" s="6"/>
      <c r="U259" s="6"/>
      <c r="V259" s="6"/>
    </row>
    <row r="260" spans="3:22">
      <c r="C260" s="6"/>
      <c r="D260" s="6"/>
      <c r="E260" s="6"/>
      <c r="F260" s="6"/>
      <c r="G260" s="6"/>
      <c r="R260" s="6"/>
      <c r="S260" s="6"/>
      <c r="T260" s="6"/>
      <c r="U260" s="6"/>
      <c r="V260" s="6"/>
    </row>
    <row r="261" spans="3:22">
      <c r="C261" s="6"/>
      <c r="D261" s="6"/>
      <c r="E261" s="6"/>
      <c r="F261" s="6"/>
      <c r="G261" s="6"/>
      <c r="R261" s="6"/>
      <c r="S261" s="6"/>
      <c r="T261" s="6"/>
      <c r="U261" s="6"/>
      <c r="V261" s="6"/>
    </row>
    <row r="262" spans="3:22">
      <c r="C262" s="6"/>
      <c r="D262" s="6"/>
      <c r="E262" s="6"/>
      <c r="F262" s="6"/>
      <c r="G262" s="6"/>
      <c r="R262" s="6"/>
      <c r="S262" s="6"/>
      <c r="T262" s="6"/>
      <c r="U262" s="6"/>
      <c r="V262" s="6"/>
    </row>
    <row r="263" spans="3:22">
      <c r="C263" s="6"/>
      <c r="D263" s="6"/>
      <c r="E263" s="6"/>
      <c r="F263" s="6"/>
      <c r="G263" s="6"/>
      <c r="R263" s="6"/>
      <c r="S263" s="6"/>
      <c r="T263" s="6"/>
      <c r="U263" s="6"/>
      <c r="V263" s="6"/>
    </row>
    <row r="264" spans="3:22">
      <c r="C264" s="6"/>
      <c r="D264" s="6"/>
      <c r="E264" s="6"/>
      <c r="F264" s="6"/>
      <c r="G264" s="6"/>
      <c r="R264" s="6"/>
      <c r="S264" s="6"/>
      <c r="T264" s="6"/>
      <c r="U264" s="6"/>
      <c r="V264" s="6"/>
    </row>
    <row r="265" spans="3:22">
      <c r="C265" s="6"/>
      <c r="D265" s="6"/>
      <c r="E265" s="6"/>
      <c r="F265" s="6"/>
      <c r="G265" s="6"/>
      <c r="R265" s="6"/>
      <c r="S265" s="6"/>
      <c r="T265" s="6"/>
      <c r="U265" s="6"/>
      <c r="V265" s="6"/>
    </row>
    <row r="266" spans="3:22">
      <c r="C266" s="6"/>
      <c r="D266" s="6"/>
      <c r="E266" s="6"/>
      <c r="F266" s="6"/>
      <c r="G266" s="6"/>
      <c r="R266" s="6"/>
      <c r="S266" s="6"/>
      <c r="T266" s="6"/>
      <c r="U266" s="6"/>
      <c r="V266" s="6"/>
    </row>
    <row r="267" spans="3:22">
      <c r="C267" s="6"/>
      <c r="D267" s="6"/>
      <c r="E267" s="6"/>
      <c r="F267" s="6"/>
      <c r="G267" s="6"/>
      <c r="R267" s="6"/>
      <c r="S267" s="6"/>
      <c r="T267" s="6"/>
      <c r="U267" s="6"/>
      <c r="V267" s="6"/>
    </row>
    <row r="268" spans="3:22">
      <c r="C268" s="6"/>
      <c r="D268" s="6"/>
      <c r="E268" s="6"/>
      <c r="F268" s="6"/>
      <c r="G268" s="6"/>
      <c r="R268" s="6"/>
      <c r="S268" s="6"/>
      <c r="T268" s="6"/>
      <c r="U268" s="6"/>
      <c r="V268" s="6"/>
    </row>
    <row r="269" spans="3:22">
      <c r="C269" s="6"/>
      <c r="D269" s="6"/>
      <c r="E269" s="6"/>
      <c r="F269" s="6"/>
      <c r="G269" s="6"/>
      <c r="R269" s="6"/>
      <c r="S269" s="6"/>
      <c r="T269" s="6"/>
      <c r="U269" s="6"/>
      <c r="V269" s="6"/>
    </row>
    <row r="270" spans="3:22">
      <c r="C270" s="6"/>
      <c r="D270" s="6"/>
      <c r="E270" s="6"/>
      <c r="F270" s="6"/>
      <c r="G270" s="6"/>
      <c r="R270" s="6"/>
      <c r="S270" s="6"/>
      <c r="T270" s="6"/>
      <c r="U270" s="6"/>
      <c r="V270" s="6"/>
    </row>
    <row r="271" spans="3:22">
      <c r="C271" s="6"/>
      <c r="D271" s="6"/>
      <c r="E271" s="6"/>
      <c r="F271" s="6"/>
      <c r="G271" s="6"/>
      <c r="R271" s="6"/>
      <c r="S271" s="6"/>
      <c r="T271" s="6"/>
      <c r="U271" s="6"/>
      <c r="V271" s="6"/>
    </row>
    <row r="272" spans="3:22">
      <c r="C272" s="6"/>
      <c r="D272" s="6"/>
      <c r="E272" s="6"/>
      <c r="F272" s="6"/>
      <c r="G272" s="6"/>
      <c r="R272" s="6"/>
      <c r="S272" s="6"/>
      <c r="T272" s="6"/>
      <c r="U272" s="6"/>
      <c r="V272" s="6"/>
    </row>
    <row r="273" spans="3:22">
      <c r="C273" s="6"/>
      <c r="D273" s="6"/>
      <c r="E273" s="6"/>
      <c r="F273" s="6"/>
      <c r="G273" s="6"/>
      <c r="R273" s="6"/>
      <c r="S273" s="6"/>
      <c r="T273" s="6"/>
      <c r="U273" s="6"/>
      <c r="V273" s="6"/>
    </row>
    <row r="274" spans="3:22">
      <c r="C274" s="6"/>
      <c r="D274" s="6"/>
      <c r="E274" s="6"/>
      <c r="F274" s="6"/>
      <c r="G274" s="6"/>
      <c r="R274" s="6"/>
      <c r="S274" s="6"/>
      <c r="T274" s="6"/>
      <c r="U274" s="6"/>
      <c r="V274" s="6"/>
    </row>
    <row r="275" spans="3:22">
      <c r="C275" s="6"/>
      <c r="D275" s="6"/>
      <c r="E275" s="6"/>
      <c r="F275" s="6"/>
      <c r="G275" s="6"/>
      <c r="R275" s="6"/>
      <c r="S275" s="6"/>
      <c r="T275" s="6"/>
      <c r="U275" s="6"/>
      <c r="V275" s="6"/>
    </row>
    <row r="276" spans="3:22">
      <c r="C276" s="6"/>
      <c r="D276" s="6"/>
      <c r="E276" s="6"/>
      <c r="F276" s="6"/>
      <c r="G276" s="6"/>
      <c r="R276" s="6"/>
      <c r="S276" s="6"/>
      <c r="T276" s="6"/>
      <c r="U276" s="6"/>
      <c r="V276" s="6"/>
    </row>
    <row r="277" spans="3:22">
      <c r="C277" s="6"/>
      <c r="D277" s="6"/>
      <c r="E277" s="6"/>
      <c r="F277" s="6"/>
      <c r="G277" s="6"/>
      <c r="R277" s="6"/>
      <c r="S277" s="6"/>
      <c r="T277" s="6"/>
      <c r="U277" s="6"/>
      <c r="V277" s="6"/>
    </row>
    <row r="278" spans="3:22">
      <c r="C278" s="6"/>
      <c r="D278" s="6"/>
      <c r="E278" s="6"/>
      <c r="F278" s="6"/>
      <c r="G278" s="6"/>
      <c r="R278" s="6"/>
      <c r="S278" s="6"/>
      <c r="T278" s="6"/>
      <c r="U278" s="6"/>
      <c r="V278" s="6"/>
    </row>
    <row r="279" spans="3:22">
      <c r="C279" s="6"/>
      <c r="D279" s="6"/>
      <c r="E279" s="6"/>
      <c r="F279" s="6"/>
      <c r="G279" s="6"/>
      <c r="R279" s="6"/>
      <c r="S279" s="6"/>
      <c r="T279" s="6"/>
      <c r="U279" s="6"/>
      <c r="V279" s="6"/>
    </row>
    <row r="280" spans="3:22">
      <c r="C280" s="6"/>
      <c r="D280" s="6"/>
      <c r="E280" s="6"/>
      <c r="F280" s="6"/>
      <c r="G280" s="6"/>
      <c r="R280" s="6"/>
      <c r="S280" s="6"/>
      <c r="T280" s="6"/>
      <c r="U280" s="6"/>
      <c r="V280" s="6"/>
    </row>
    <row r="281" spans="3:22">
      <c r="C281" s="6"/>
      <c r="D281" s="6"/>
      <c r="E281" s="6"/>
      <c r="F281" s="6"/>
      <c r="G281" s="6"/>
      <c r="R281" s="6"/>
      <c r="S281" s="6"/>
      <c r="T281" s="6"/>
      <c r="U281" s="6"/>
      <c r="V281" s="6"/>
    </row>
    <row r="282" spans="3:22">
      <c r="C282" s="6"/>
      <c r="D282" s="6"/>
      <c r="E282" s="6"/>
      <c r="F282" s="6"/>
      <c r="G282" s="6"/>
      <c r="R282" s="6"/>
      <c r="S282" s="6"/>
      <c r="T282" s="6"/>
      <c r="U282" s="6"/>
      <c r="V282" s="6"/>
    </row>
    <row r="283" spans="3:22">
      <c r="C283" s="6"/>
      <c r="D283" s="6"/>
      <c r="E283" s="6"/>
      <c r="F283" s="6"/>
      <c r="G283" s="6"/>
      <c r="R283" s="6"/>
      <c r="S283" s="6"/>
      <c r="T283" s="6"/>
      <c r="U283" s="6"/>
      <c r="V283" s="6"/>
    </row>
    <row r="284" spans="3:22">
      <c r="C284" s="6"/>
      <c r="D284" s="6"/>
      <c r="E284" s="6"/>
      <c r="F284" s="6"/>
      <c r="G284" s="6"/>
      <c r="R284" s="6"/>
      <c r="S284" s="6"/>
      <c r="T284" s="6"/>
      <c r="U284" s="6"/>
      <c r="V284" s="6"/>
    </row>
    <row r="285" spans="3:22">
      <c r="C285" s="6"/>
      <c r="D285" s="6"/>
      <c r="E285" s="6"/>
      <c r="F285" s="6"/>
      <c r="G285" s="6"/>
      <c r="R285" s="6"/>
      <c r="S285" s="6"/>
      <c r="T285" s="6"/>
      <c r="U285" s="6"/>
      <c r="V285" s="6"/>
    </row>
    <row r="286" spans="3:22">
      <c r="C286" s="6"/>
      <c r="D286" s="6"/>
      <c r="E286" s="6"/>
      <c r="F286" s="6"/>
      <c r="G286" s="6"/>
      <c r="R286" s="6"/>
      <c r="S286" s="6"/>
      <c r="T286" s="6"/>
      <c r="U286" s="6"/>
      <c r="V286" s="6"/>
    </row>
    <row r="287" spans="3:22">
      <c r="C287" s="6"/>
      <c r="D287" s="6"/>
      <c r="E287" s="6"/>
      <c r="F287" s="6"/>
      <c r="G287" s="6"/>
      <c r="R287" s="6"/>
      <c r="S287" s="6"/>
      <c r="T287" s="6"/>
      <c r="U287" s="6"/>
      <c r="V287" s="6"/>
    </row>
    <row r="288" spans="3:22">
      <c r="C288" s="6"/>
      <c r="D288" s="6"/>
      <c r="E288" s="6"/>
      <c r="F288" s="6"/>
      <c r="G288" s="6"/>
      <c r="R288" s="6"/>
      <c r="S288" s="6"/>
      <c r="T288" s="6"/>
      <c r="U288" s="6"/>
      <c r="V288" s="6"/>
    </row>
    <row r="289" spans="3:22">
      <c r="C289" s="6"/>
      <c r="D289" s="6"/>
      <c r="E289" s="6"/>
      <c r="F289" s="6"/>
      <c r="G289" s="6"/>
      <c r="R289" s="6"/>
      <c r="S289" s="6"/>
      <c r="T289" s="6"/>
      <c r="U289" s="6"/>
      <c r="V289" s="6"/>
    </row>
    <row r="290" spans="3:22">
      <c r="C290" s="6"/>
      <c r="D290" s="6"/>
      <c r="E290" s="6"/>
      <c r="F290" s="6"/>
      <c r="G290" s="6"/>
      <c r="R290" s="6"/>
      <c r="S290" s="6"/>
      <c r="T290" s="6"/>
      <c r="U290" s="6"/>
      <c r="V290" s="6"/>
    </row>
    <row r="291" spans="3:22">
      <c r="C291" s="6"/>
      <c r="D291" s="6"/>
      <c r="E291" s="6"/>
      <c r="F291" s="6"/>
      <c r="G291" s="6"/>
      <c r="R291" s="6"/>
      <c r="S291" s="6"/>
      <c r="T291" s="6"/>
      <c r="U291" s="6"/>
      <c r="V291" s="6"/>
    </row>
    <row r="292" spans="3:22">
      <c r="C292" s="6"/>
      <c r="D292" s="6"/>
      <c r="E292" s="6"/>
      <c r="F292" s="6"/>
      <c r="G292" s="6"/>
      <c r="R292" s="6"/>
      <c r="S292" s="6"/>
      <c r="T292" s="6"/>
      <c r="U292" s="6"/>
      <c r="V292" s="6"/>
    </row>
    <row r="293" spans="3:22">
      <c r="C293" s="6"/>
      <c r="D293" s="6"/>
      <c r="E293" s="6"/>
      <c r="F293" s="6"/>
      <c r="G293" s="6"/>
      <c r="R293" s="6"/>
      <c r="S293" s="6"/>
      <c r="T293" s="6"/>
      <c r="U293" s="6"/>
      <c r="V293" s="6"/>
    </row>
    <row r="294" spans="3:22">
      <c r="C294" s="6"/>
      <c r="D294" s="6"/>
      <c r="E294" s="6"/>
      <c r="F294" s="6"/>
      <c r="G294" s="6"/>
      <c r="R294" s="6"/>
      <c r="S294" s="6"/>
      <c r="T294" s="6"/>
      <c r="U294" s="6"/>
      <c r="V294" s="6"/>
    </row>
    <row r="295" spans="3:22">
      <c r="C295" s="6"/>
      <c r="D295" s="6"/>
      <c r="E295" s="6"/>
      <c r="F295" s="6"/>
      <c r="G295" s="6"/>
      <c r="R295" s="6"/>
      <c r="S295" s="6"/>
      <c r="T295" s="6"/>
      <c r="U295" s="6"/>
      <c r="V295" s="6"/>
    </row>
    <row r="296" spans="3:22">
      <c r="C296" s="6"/>
      <c r="D296" s="6"/>
      <c r="E296" s="6"/>
      <c r="F296" s="6"/>
      <c r="G296" s="6"/>
      <c r="R296" s="6"/>
      <c r="S296" s="6"/>
      <c r="T296" s="6"/>
      <c r="U296" s="6"/>
      <c r="V296" s="6"/>
    </row>
    <row r="297" spans="3:22">
      <c r="C297" s="6"/>
      <c r="D297" s="6"/>
      <c r="E297" s="6"/>
      <c r="F297" s="6"/>
      <c r="G297" s="6"/>
      <c r="R297" s="6"/>
      <c r="S297" s="6"/>
      <c r="T297" s="6"/>
      <c r="U297" s="6"/>
      <c r="V297" s="6"/>
    </row>
    <row r="298" spans="3:22">
      <c r="C298" s="6"/>
      <c r="D298" s="6"/>
      <c r="E298" s="6"/>
      <c r="F298" s="6"/>
      <c r="G298" s="6"/>
      <c r="R298" s="6"/>
      <c r="S298" s="6"/>
      <c r="T298" s="6"/>
      <c r="U298" s="6"/>
      <c r="V298" s="6"/>
    </row>
    <row r="299" spans="3:22">
      <c r="C299" s="6"/>
      <c r="D299" s="6"/>
      <c r="E299" s="6"/>
      <c r="F299" s="6"/>
      <c r="G299" s="6"/>
      <c r="R299" s="6"/>
      <c r="S299" s="6"/>
      <c r="T299" s="6"/>
      <c r="U299" s="6"/>
      <c r="V299" s="6"/>
    </row>
    <row r="300" spans="3:22">
      <c r="C300" s="6"/>
      <c r="D300" s="6"/>
      <c r="E300" s="6"/>
      <c r="F300" s="6"/>
      <c r="G300" s="6"/>
      <c r="R300" s="6"/>
      <c r="S300" s="6"/>
      <c r="T300" s="6"/>
      <c r="U300" s="6"/>
      <c r="V300" s="6"/>
    </row>
    <row r="301" spans="3:22">
      <c r="C301" s="6"/>
      <c r="D301" s="6"/>
      <c r="E301" s="6"/>
      <c r="F301" s="6"/>
      <c r="G301" s="6"/>
      <c r="R301" s="6"/>
      <c r="S301" s="6"/>
      <c r="T301" s="6"/>
      <c r="U301" s="6"/>
      <c r="V301" s="6"/>
    </row>
    <row r="302" spans="3:22">
      <c r="C302" s="6"/>
      <c r="D302" s="6"/>
      <c r="E302" s="6"/>
      <c r="F302" s="6"/>
      <c r="G302" s="6"/>
      <c r="R302" s="6"/>
      <c r="S302" s="6"/>
      <c r="T302" s="6"/>
      <c r="U302" s="6"/>
      <c r="V302" s="6"/>
    </row>
    <row r="303" spans="3:22">
      <c r="C303" s="6"/>
      <c r="D303" s="6"/>
      <c r="E303" s="6"/>
      <c r="F303" s="6"/>
      <c r="G303" s="6"/>
      <c r="R303" s="6"/>
      <c r="S303" s="6"/>
      <c r="T303" s="6"/>
      <c r="U303" s="6"/>
      <c r="V303" s="6"/>
    </row>
    <row r="304" spans="3:22">
      <c r="C304" s="6"/>
      <c r="D304" s="6"/>
      <c r="E304" s="6"/>
      <c r="F304" s="6"/>
      <c r="G304" s="6"/>
      <c r="R304" s="6"/>
      <c r="S304" s="6"/>
      <c r="T304" s="6"/>
      <c r="U304" s="6"/>
      <c r="V304" s="6"/>
    </row>
    <row r="305" spans="3:22">
      <c r="C305" s="6"/>
      <c r="D305" s="6"/>
      <c r="E305" s="6"/>
      <c r="F305" s="6"/>
      <c r="G305" s="6"/>
      <c r="R305" s="6"/>
      <c r="S305" s="6"/>
      <c r="T305" s="6"/>
      <c r="U305" s="6"/>
      <c r="V305" s="6"/>
    </row>
    <row r="306" spans="3:22">
      <c r="C306" s="6"/>
      <c r="D306" s="6"/>
      <c r="E306" s="6"/>
      <c r="F306" s="6"/>
      <c r="G306" s="6"/>
      <c r="R306" s="6"/>
      <c r="S306" s="6"/>
      <c r="T306" s="6"/>
      <c r="U306" s="6"/>
      <c r="V306" s="6"/>
    </row>
    <row r="307" spans="3:22">
      <c r="C307" s="6"/>
      <c r="D307" s="6"/>
      <c r="E307" s="6"/>
      <c r="F307" s="6"/>
      <c r="G307" s="6"/>
      <c r="R307" s="6"/>
      <c r="S307" s="6"/>
      <c r="T307" s="6"/>
      <c r="U307" s="6"/>
      <c r="V307" s="6"/>
    </row>
    <row r="308" spans="3:22">
      <c r="C308" s="6"/>
      <c r="D308" s="6"/>
      <c r="E308" s="6"/>
      <c r="F308" s="6"/>
      <c r="G308" s="6"/>
      <c r="R308" s="6"/>
      <c r="S308" s="6"/>
      <c r="T308" s="6"/>
      <c r="U308" s="6"/>
      <c r="V308" s="6"/>
    </row>
    <row r="309" spans="3:22">
      <c r="C309" s="6"/>
      <c r="D309" s="6"/>
      <c r="E309" s="6"/>
      <c r="F309" s="6"/>
      <c r="G309" s="6"/>
      <c r="R309" s="6"/>
      <c r="S309" s="6"/>
      <c r="T309" s="6"/>
      <c r="U309" s="6"/>
      <c r="V309" s="6"/>
    </row>
    <row r="310" spans="3:22">
      <c r="C310" s="6"/>
      <c r="D310" s="6"/>
      <c r="E310" s="6"/>
      <c r="F310" s="6"/>
      <c r="G310" s="6"/>
      <c r="R310" s="6"/>
      <c r="S310" s="6"/>
      <c r="T310" s="6"/>
      <c r="U310" s="6"/>
      <c r="V310" s="6"/>
    </row>
    <row r="311" spans="3:22">
      <c r="C311" s="6"/>
      <c r="D311" s="6"/>
      <c r="E311" s="6"/>
      <c r="F311" s="6"/>
      <c r="G311" s="6"/>
      <c r="R311" s="6"/>
      <c r="S311" s="6"/>
      <c r="T311" s="6"/>
      <c r="U311" s="6"/>
      <c r="V311" s="6"/>
    </row>
    <row r="312" spans="3:22">
      <c r="C312" s="6"/>
      <c r="D312" s="6"/>
      <c r="E312" s="6"/>
      <c r="F312" s="6"/>
      <c r="G312" s="6"/>
      <c r="R312" s="6"/>
      <c r="S312" s="6"/>
      <c r="T312" s="6"/>
      <c r="U312" s="6"/>
      <c r="V312" s="6"/>
    </row>
    <row r="313" spans="3:22">
      <c r="C313" s="6"/>
      <c r="D313" s="6"/>
      <c r="E313" s="6"/>
      <c r="F313" s="6"/>
      <c r="G313" s="6"/>
      <c r="R313" s="6"/>
      <c r="S313" s="6"/>
      <c r="T313" s="6"/>
      <c r="U313" s="6"/>
      <c r="V313" s="6"/>
    </row>
    <row r="314" spans="3:22">
      <c r="C314" s="6"/>
      <c r="D314" s="6"/>
      <c r="E314" s="6"/>
      <c r="F314" s="6"/>
      <c r="G314" s="6"/>
      <c r="R314" s="6"/>
      <c r="S314" s="6"/>
      <c r="T314" s="6"/>
      <c r="U314" s="6"/>
      <c r="V314" s="6"/>
    </row>
    <row r="315" spans="3:22">
      <c r="C315" s="6"/>
      <c r="D315" s="6"/>
      <c r="E315" s="6"/>
      <c r="F315" s="6"/>
      <c r="G315" s="6"/>
      <c r="R315" s="6"/>
      <c r="S315" s="6"/>
      <c r="T315" s="6"/>
      <c r="U315" s="6"/>
      <c r="V315" s="6"/>
    </row>
    <row r="316" spans="3:22">
      <c r="C316" s="6"/>
      <c r="D316" s="6"/>
      <c r="E316" s="6"/>
      <c r="F316" s="6"/>
      <c r="G316" s="6"/>
      <c r="R316" s="6"/>
      <c r="S316" s="6"/>
      <c r="T316" s="6"/>
      <c r="U316" s="6"/>
      <c r="V316" s="6"/>
    </row>
    <row r="317" spans="3:22">
      <c r="C317" s="6"/>
      <c r="D317" s="6"/>
      <c r="E317" s="6"/>
      <c r="F317" s="6"/>
      <c r="G317" s="6"/>
      <c r="R317" s="6"/>
      <c r="S317" s="6"/>
      <c r="T317" s="6"/>
      <c r="U317" s="6"/>
      <c r="V317" s="6"/>
    </row>
    <row r="318" spans="3:22">
      <c r="C318" s="6"/>
      <c r="D318" s="6"/>
      <c r="E318" s="6"/>
      <c r="F318" s="6"/>
      <c r="G318" s="6"/>
      <c r="R318" s="6"/>
      <c r="S318" s="6"/>
      <c r="T318" s="6"/>
      <c r="U318" s="6"/>
      <c r="V318" s="6"/>
    </row>
    <row r="319" spans="3:22">
      <c r="C319" s="6"/>
      <c r="D319" s="6"/>
      <c r="E319" s="6"/>
      <c r="F319" s="6"/>
      <c r="G319" s="6"/>
      <c r="R319" s="6"/>
      <c r="S319" s="6"/>
      <c r="T319" s="6"/>
      <c r="U319" s="6"/>
      <c r="V319" s="6"/>
    </row>
    <row r="320" spans="3:22">
      <c r="C320" s="6"/>
      <c r="D320" s="6"/>
      <c r="E320" s="6"/>
      <c r="F320" s="6"/>
      <c r="G320" s="6"/>
      <c r="R320" s="6"/>
      <c r="S320" s="6"/>
      <c r="T320" s="6"/>
      <c r="U320" s="6"/>
      <c r="V320" s="6"/>
    </row>
    <row r="321" spans="3:22">
      <c r="C321" s="6"/>
      <c r="D321" s="6"/>
      <c r="E321" s="6"/>
      <c r="F321" s="6"/>
      <c r="G321" s="6"/>
      <c r="R321" s="6"/>
      <c r="S321" s="6"/>
      <c r="T321" s="6"/>
      <c r="U321" s="6"/>
      <c r="V321" s="6"/>
    </row>
    <row r="322" spans="3:22">
      <c r="C322" s="6"/>
      <c r="D322" s="6"/>
      <c r="E322" s="6"/>
      <c r="F322" s="6"/>
      <c r="G322" s="6"/>
      <c r="R322" s="6"/>
      <c r="S322" s="6"/>
      <c r="T322" s="6"/>
      <c r="U322" s="6"/>
      <c r="V322" s="6"/>
    </row>
    <row r="323" spans="3:22">
      <c r="C323" s="6"/>
      <c r="D323" s="6"/>
      <c r="E323" s="6"/>
      <c r="F323" s="6"/>
      <c r="G323" s="6"/>
      <c r="R323" s="6"/>
      <c r="S323" s="6"/>
      <c r="T323" s="6"/>
      <c r="U323" s="6"/>
      <c r="V323" s="6"/>
    </row>
    <row r="324" spans="3:22">
      <c r="C324" s="6"/>
      <c r="D324" s="6"/>
      <c r="E324" s="6"/>
      <c r="F324" s="6"/>
      <c r="G324" s="6"/>
      <c r="R324" s="6"/>
      <c r="S324" s="6"/>
      <c r="T324" s="6"/>
      <c r="U324" s="6"/>
      <c r="V324" s="6"/>
    </row>
    <row r="325" spans="3:22">
      <c r="C325" s="6"/>
      <c r="D325" s="6"/>
      <c r="E325" s="6"/>
      <c r="F325" s="6"/>
      <c r="G325" s="6"/>
      <c r="R325" s="6"/>
      <c r="S325" s="6"/>
      <c r="T325" s="6"/>
      <c r="U325" s="6"/>
      <c r="V325" s="6"/>
    </row>
    <row r="326" spans="3:22">
      <c r="C326" s="6"/>
      <c r="D326" s="6"/>
      <c r="E326" s="6"/>
      <c r="F326" s="6"/>
      <c r="G326" s="6"/>
      <c r="R326" s="6"/>
      <c r="S326" s="6"/>
      <c r="T326" s="6"/>
      <c r="U326" s="6"/>
      <c r="V326" s="6"/>
    </row>
    <row r="327" spans="3:22">
      <c r="C327" s="6"/>
      <c r="D327" s="6"/>
      <c r="E327" s="6"/>
      <c r="F327" s="6"/>
      <c r="G327" s="6"/>
      <c r="R327" s="6"/>
      <c r="S327" s="6"/>
      <c r="T327" s="6"/>
      <c r="U327" s="6"/>
      <c r="V327" s="6"/>
    </row>
    <row r="328" spans="3:22">
      <c r="C328" s="6"/>
      <c r="D328" s="6"/>
      <c r="E328" s="6"/>
      <c r="F328" s="6"/>
      <c r="G328" s="6"/>
      <c r="R328" s="6"/>
      <c r="S328" s="6"/>
      <c r="T328" s="6"/>
      <c r="U328" s="6"/>
      <c r="V328" s="6"/>
    </row>
    <row r="329" spans="3:22">
      <c r="C329" s="6"/>
      <c r="D329" s="6"/>
      <c r="E329" s="6"/>
      <c r="F329" s="6"/>
      <c r="G329" s="6"/>
      <c r="R329" s="6"/>
      <c r="S329" s="6"/>
      <c r="T329" s="6"/>
      <c r="U329" s="6"/>
      <c r="V329" s="6"/>
    </row>
    <row r="330" spans="3:22">
      <c r="C330" s="6"/>
      <c r="D330" s="6"/>
      <c r="E330" s="6"/>
      <c r="F330" s="6"/>
      <c r="G330" s="6"/>
      <c r="R330" s="6"/>
      <c r="S330" s="6"/>
      <c r="T330" s="6"/>
      <c r="U330" s="6"/>
      <c r="V330" s="6"/>
    </row>
    <row r="331" spans="3:22">
      <c r="C331" s="6"/>
      <c r="D331" s="6"/>
      <c r="E331" s="6"/>
      <c r="F331" s="6"/>
      <c r="G331" s="6"/>
      <c r="R331" s="6"/>
      <c r="S331" s="6"/>
      <c r="T331" s="6"/>
      <c r="U331" s="6"/>
      <c r="V331" s="6"/>
    </row>
    <row r="332" spans="3:22">
      <c r="C332" s="6"/>
      <c r="D332" s="6"/>
      <c r="E332" s="6"/>
      <c r="F332" s="6"/>
      <c r="G332" s="6"/>
      <c r="R332" s="6"/>
      <c r="S332" s="6"/>
      <c r="T332" s="6"/>
      <c r="U332" s="6"/>
      <c r="V332" s="6"/>
    </row>
    <row r="333" spans="3:22">
      <c r="C333" s="6"/>
      <c r="D333" s="6"/>
      <c r="E333" s="6"/>
      <c r="F333" s="6"/>
      <c r="G333" s="6"/>
      <c r="R333" s="6"/>
      <c r="S333" s="6"/>
      <c r="T333" s="6"/>
      <c r="U333" s="6"/>
      <c r="V333" s="6"/>
    </row>
    <row r="334" spans="3:22">
      <c r="C334" s="6"/>
      <c r="D334" s="6"/>
      <c r="E334" s="6"/>
      <c r="F334" s="6"/>
      <c r="G334" s="6"/>
      <c r="R334" s="6"/>
      <c r="S334" s="6"/>
      <c r="T334" s="6"/>
      <c r="U334" s="6"/>
      <c r="V334" s="6"/>
    </row>
    <row r="335" spans="3:22">
      <c r="C335" s="6"/>
      <c r="D335" s="6"/>
      <c r="E335" s="6"/>
      <c r="F335" s="6"/>
      <c r="G335" s="6"/>
      <c r="R335" s="6"/>
      <c r="S335" s="6"/>
      <c r="T335" s="6"/>
      <c r="U335" s="6"/>
      <c r="V335" s="6"/>
    </row>
    <row r="336" spans="3:22">
      <c r="C336" s="6"/>
      <c r="D336" s="6"/>
      <c r="E336" s="6"/>
      <c r="F336" s="6"/>
      <c r="G336" s="6"/>
      <c r="R336" s="6"/>
      <c r="S336" s="6"/>
      <c r="T336" s="6"/>
      <c r="U336" s="6"/>
      <c r="V336" s="6"/>
    </row>
    <row r="337" spans="3:22">
      <c r="C337" s="6"/>
      <c r="D337" s="6"/>
      <c r="E337" s="6"/>
      <c r="F337" s="6"/>
      <c r="G337" s="6"/>
      <c r="R337" s="6"/>
      <c r="S337" s="6"/>
      <c r="T337" s="6"/>
      <c r="U337" s="6"/>
      <c r="V337" s="6"/>
    </row>
    <row r="338" spans="3:22">
      <c r="C338" s="6"/>
      <c r="D338" s="6"/>
      <c r="E338" s="6"/>
      <c r="F338" s="6"/>
      <c r="G338" s="6"/>
      <c r="R338" s="6"/>
      <c r="S338" s="6"/>
      <c r="T338" s="6"/>
      <c r="U338" s="6"/>
      <c r="V338" s="6"/>
    </row>
    <row r="339" spans="3:22">
      <c r="C339" s="6"/>
      <c r="D339" s="6"/>
      <c r="E339" s="6"/>
      <c r="F339" s="6"/>
      <c r="G339" s="6"/>
      <c r="R339" s="6"/>
      <c r="S339" s="6"/>
      <c r="T339" s="6"/>
      <c r="U339" s="6"/>
      <c r="V339" s="6"/>
    </row>
    <row r="340" spans="3:22">
      <c r="C340" s="6"/>
      <c r="D340" s="6"/>
      <c r="E340" s="6"/>
      <c r="F340" s="6"/>
      <c r="G340" s="6"/>
      <c r="R340" s="6"/>
      <c r="S340" s="6"/>
      <c r="T340" s="6"/>
      <c r="U340" s="6"/>
      <c r="V340" s="6"/>
    </row>
    <row r="341" spans="3:22">
      <c r="C341" s="6"/>
      <c r="D341" s="6"/>
      <c r="E341" s="6"/>
      <c r="F341" s="6"/>
      <c r="G341" s="6"/>
      <c r="R341" s="6"/>
      <c r="S341" s="6"/>
      <c r="T341" s="6"/>
      <c r="U341" s="6"/>
      <c r="V341" s="6"/>
    </row>
    <row r="342" spans="3:22">
      <c r="C342" s="6"/>
      <c r="D342" s="6"/>
      <c r="E342" s="6"/>
      <c r="F342" s="6"/>
      <c r="G342" s="6"/>
      <c r="R342" s="6"/>
      <c r="S342" s="6"/>
      <c r="T342" s="6"/>
      <c r="U342" s="6"/>
      <c r="V342" s="6"/>
    </row>
    <row r="343" spans="3:22">
      <c r="C343" s="6"/>
      <c r="D343" s="6"/>
      <c r="E343" s="6"/>
      <c r="F343" s="6"/>
      <c r="G343" s="6"/>
      <c r="R343" s="6"/>
      <c r="S343" s="6"/>
      <c r="T343" s="6"/>
      <c r="U343" s="6"/>
      <c r="V343" s="6"/>
    </row>
    <row r="344" spans="3:22">
      <c r="C344" s="6"/>
      <c r="D344" s="6"/>
      <c r="E344" s="6"/>
      <c r="F344" s="6"/>
      <c r="G344" s="6"/>
      <c r="R344" s="6"/>
      <c r="S344" s="6"/>
      <c r="T344" s="6"/>
      <c r="U344" s="6"/>
      <c r="V344" s="6"/>
    </row>
    <row r="345" spans="3:22">
      <c r="C345" s="6"/>
      <c r="D345" s="6"/>
      <c r="E345" s="6"/>
      <c r="F345" s="6"/>
      <c r="G345" s="6"/>
      <c r="R345" s="6"/>
      <c r="S345" s="6"/>
      <c r="T345" s="6"/>
      <c r="U345" s="6"/>
      <c r="V345" s="6"/>
    </row>
    <row r="346" spans="3:22">
      <c r="C346" s="6"/>
      <c r="D346" s="6"/>
      <c r="E346" s="6"/>
      <c r="F346" s="6"/>
      <c r="G346" s="6"/>
      <c r="R346" s="6"/>
      <c r="S346" s="6"/>
      <c r="T346" s="6"/>
      <c r="U346" s="6"/>
      <c r="V346" s="6"/>
    </row>
    <row r="347" spans="3:22">
      <c r="C347" s="6"/>
      <c r="D347" s="6"/>
      <c r="E347" s="6"/>
      <c r="F347" s="6"/>
      <c r="G347" s="6"/>
      <c r="R347" s="6"/>
      <c r="S347" s="6"/>
      <c r="T347" s="6"/>
      <c r="U347" s="6"/>
      <c r="V347" s="6"/>
    </row>
    <row r="348" spans="3:22">
      <c r="C348" s="6"/>
      <c r="D348" s="6"/>
      <c r="E348" s="6"/>
      <c r="F348" s="6"/>
      <c r="G348" s="6"/>
      <c r="R348" s="6"/>
      <c r="S348" s="6"/>
      <c r="T348" s="6"/>
      <c r="U348" s="6"/>
      <c r="V348" s="6"/>
    </row>
    <row r="349" spans="3:22">
      <c r="C349" s="6"/>
      <c r="D349" s="6"/>
      <c r="E349" s="6"/>
      <c r="F349" s="6"/>
      <c r="G349" s="6"/>
      <c r="R349" s="6"/>
      <c r="S349" s="6"/>
      <c r="T349" s="6"/>
      <c r="U349" s="6"/>
      <c r="V349" s="6"/>
    </row>
    <row r="350" spans="3:22">
      <c r="C350" s="6"/>
      <c r="D350" s="6"/>
      <c r="E350" s="6"/>
      <c r="F350" s="6"/>
      <c r="G350" s="6"/>
      <c r="R350" s="6"/>
      <c r="S350" s="6"/>
      <c r="T350" s="6"/>
      <c r="U350" s="6"/>
      <c r="V350" s="6"/>
    </row>
    <row r="351" spans="3:22">
      <c r="C351" s="6"/>
      <c r="D351" s="6"/>
      <c r="E351" s="6"/>
      <c r="F351" s="6"/>
      <c r="G351" s="6"/>
      <c r="R351" s="6"/>
      <c r="S351" s="6"/>
      <c r="T351" s="6"/>
      <c r="U351" s="6"/>
      <c r="V351" s="6"/>
    </row>
    <row r="352" spans="3:22">
      <c r="C352" s="6"/>
      <c r="D352" s="6"/>
      <c r="E352" s="6"/>
      <c r="F352" s="6"/>
      <c r="G352" s="6"/>
      <c r="R352" s="6"/>
      <c r="S352" s="6"/>
      <c r="T352" s="6"/>
      <c r="U352" s="6"/>
      <c r="V352" s="6"/>
    </row>
    <row r="353" spans="3:22">
      <c r="C353" s="6"/>
      <c r="D353" s="6"/>
      <c r="E353" s="6"/>
      <c r="F353" s="6"/>
      <c r="G353" s="6"/>
      <c r="R353" s="6"/>
      <c r="S353" s="6"/>
      <c r="T353" s="6"/>
      <c r="U353" s="6"/>
      <c r="V353" s="6"/>
    </row>
    <row r="354" spans="3:22">
      <c r="C354" s="6"/>
      <c r="D354" s="6"/>
      <c r="E354" s="6"/>
      <c r="F354" s="6"/>
      <c r="G354" s="6"/>
      <c r="R354" s="6"/>
      <c r="S354" s="6"/>
      <c r="T354" s="6"/>
      <c r="U354" s="6"/>
      <c r="V354" s="6"/>
    </row>
    <row r="355" spans="3:22">
      <c r="C355" s="6"/>
      <c r="D355" s="6"/>
      <c r="E355" s="6"/>
      <c r="F355" s="6"/>
      <c r="G355" s="6"/>
      <c r="R355" s="6"/>
      <c r="S355" s="6"/>
      <c r="T355" s="6"/>
      <c r="U355" s="6"/>
      <c r="V355" s="6"/>
    </row>
    <row r="356" spans="3:22">
      <c r="C356" s="6"/>
      <c r="D356" s="6"/>
      <c r="E356" s="6"/>
      <c r="F356" s="6"/>
      <c r="G356" s="6"/>
      <c r="R356" s="6"/>
      <c r="S356" s="6"/>
      <c r="T356" s="6"/>
      <c r="U356" s="6"/>
      <c r="V356" s="6"/>
    </row>
    <row r="357" spans="3:22">
      <c r="C357" s="6"/>
      <c r="D357" s="6"/>
      <c r="E357" s="6"/>
      <c r="F357" s="6"/>
      <c r="G357" s="6"/>
      <c r="R357" s="6"/>
      <c r="S357" s="6"/>
      <c r="T357" s="6"/>
      <c r="U357" s="6"/>
      <c r="V357" s="6"/>
    </row>
    <row r="358" spans="3:22">
      <c r="C358" s="6"/>
      <c r="D358" s="6"/>
      <c r="E358" s="6"/>
      <c r="F358" s="6"/>
      <c r="G358" s="6"/>
      <c r="R358" s="6"/>
      <c r="S358" s="6"/>
      <c r="T358" s="6"/>
      <c r="U358" s="6"/>
      <c r="V358" s="6"/>
    </row>
    <row r="359" spans="3:22">
      <c r="C359" s="6"/>
      <c r="D359" s="6"/>
      <c r="E359" s="6"/>
      <c r="F359" s="6"/>
      <c r="G359" s="6"/>
      <c r="R359" s="6"/>
      <c r="S359" s="6"/>
      <c r="T359" s="6"/>
      <c r="U359" s="6"/>
      <c r="V359" s="6"/>
    </row>
    <row r="360" spans="3:22">
      <c r="C360" s="6"/>
      <c r="D360" s="6"/>
      <c r="E360" s="6"/>
      <c r="F360" s="6"/>
      <c r="G360" s="6"/>
      <c r="R360" s="6"/>
      <c r="S360" s="6"/>
      <c r="T360" s="6"/>
      <c r="U360" s="6"/>
      <c r="V360" s="6"/>
    </row>
    <row r="361" spans="3:22">
      <c r="C361" s="6"/>
      <c r="D361" s="6"/>
      <c r="E361" s="6"/>
      <c r="F361" s="6"/>
      <c r="G361" s="6"/>
      <c r="R361" s="6"/>
      <c r="S361" s="6"/>
      <c r="T361" s="6"/>
      <c r="U361" s="6"/>
      <c r="V361" s="6"/>
    </row>
    <row r="362" spans="3:22">
      <c r="C362" s="6"/>
      <c r="D362" s="6"/>
      <c r="E362" s="6"/>
      <c r="F362" s="6"/>
      <c r="G362" s="6"/>
      <c r="R362" s="6"/>
      <c r="S362" s="6"/>
      <c r="T362" s="6"/>
      <c r="U362" s="6"/>
      <c r="V362" s="6"/>
    </row>
    <row r="363" spans="3:22">
      <c r="C363" s="6"/>
      <c r="D363" s="6"/>
      <c r="E363" s="6"/>
      <c r="F363" s="6"/>
      <c r="G363" s="6"/>
      <c r="R363" s="6"/>
      <c r="S363" s="6"/>
      <c r="T363" s="6"/>
      <c r="U363" s="6"/>
      <c r="V363" s="6"/>
    </row>
    <row r="364" spans="3:22">
      <c r="C364" s="6"/>
      <c r="D364" s="6"/>
      <c r="E364" s="6"/>
      <c r="F364" s="6"/>
      <c r="G364" s="6"/>
      <c r="R364" s="6"/>
      <c r="S364" s="6"/>
      <c r="T364" s="6"/>
      <c r="U364" s="6"/>
      <c r="V364" s="6"/>
    </row>
    <row r="365" spans="3:22">
      <c r="C365" s="6"/>
      <c r="D365" s="6"/>
      <c r="E365" s="6"/>
      <c r="F365" s="6"/>
      <c r="G365" s="6"/>
      <c r="R365" s="6"/>
      <c r="S365" s="6"/>
      <c r="T365" s="6"/>
      <c r="U365" s="6"/>
      <c r="V365" s="6"/>
    </row>
    <row r="366" spans="3:22">
      <c r="C366" s="6"/>
      <c r="D366" s="6"/>
      <c r="E366" s="6"/>
      <c r="F366" s="6"/>
      <c r="G366" s="6"/>
      <c r="R366" s="6"/>
      <c r="S366" s="6"/>
      <c r="T366" s="6"/>
      <c r="U366" s="6"/>
      <c r="V366" s="6"/>
    </row>
    <row r="367" spans="3:22">
      <c r="C367" s="6"/>
      <c r="D367" s="6"/>
      <c r="E367" s="6"/>
      <c r="F367" s="6"/>
      <c r="G367" s="6"/>
      <c r="R367" s="6"/>
      <c r="S367" s="6"/>
      <c r="T367" s="6"/>
      <c r="U367" s="6"/>
      <c r="V367" s="6"/>
    </row>
    <row r="368" spans="3:22">
      <c r="C368" s="6"/>
      <c r="D368" s="6"/>
      <c r="E368" s="6"/>
      <c r="F368" s="6"/>
      <c r="G368" s="6"/>
      <c r="R368" s="6"/>
      <c r="S368" s="6"/>
      <c r="T368" s="6"/>
      <c r="U368" s="6"/>
      <c r="V368" s="6"/>
    </row>
    <row r="369" spans="3:22">
      <c r="C369" s="6"/>
      <c r="D369" s="6"/>
      <c r="E369" s="6"/>
      <c r="F369" s="6"/>
      <c r="G369" s="6"/>
      <c r="R369" s="6"/>
      <c r="S369" s="6"/>
      <c r="T369" s="6"/>
      <c r="U369" s="6"/>
      <c r="V369" s="6"/>
    </row>
    <row r="370" spans="3:22">
      <c r="C370" s="6"/>
      <c r="D370" s="6"/>
      <c r="E370" s="6"/>
      <c r="F370" s="6"/>
      <c r="G370" s="6"/>
      <c r="R370" s="6"/>
      <c r="S370" s="6"/>
      <c r="T370" s="6"/>
      <c r="U370" s="6"/>
      <c r="V370" s="6"/>
    </row>
    <row r="371" spans="3:22">
      <c r="C371" s="6"/>
      <c r="D371" s="6"/>
      <c r="E371" s="6"/>
      <c r="F371" s="6"/>
      <c r="G371" s="6"/>
      <c r="R371" s="6"/>
      <c r="S371" s="6"/>
      <c r="T371" s="6"/>
      <c r="U371" s="6"/>
      <c r="V371" s="6"/>
    </row>
    <row r="372" spans="3:22">
      <c r="C372" s="6"/>
      <c r="D372" s="6"/>
      <c r="E372" s="6"/>
      <c r="F372" s="6"/>
      <c r="G372" s="6"/>
      <c r="R372" s="6"/>
      <c r="S372" s="6"/>
      <c r="T372" s="6"/>
      <c r="U372" s="6"/>
      <c r="V372" s="6"/>
    </row>
    <row r="373" spans="3:22">
      <c r="C373" s="6"/>
      <c r="D373" s="6"/>
      <c r="E373" s="6"/>
      <c r="F373" s="6"/>
      <c r="G373" s="6"/>
      <c r="R373" s="6"/>
      <c r="S373" s="6"/>
      <c r="T373" s="6"/>
      <c r="U373" s="6"/>
      <c r="V373" s="6"/>
    </row>
    <row r="374" spans="3:22">
      <c r="C374" s="6"/>
      <c r="D374" s="6"/>
      <c r="E374" s="6"/>
      <c r="F374" s="6"/>
      <c r="G374" s="6"/>
      <c r="R374" s="6"/>
      <c r="S374" s="6"/>
      <c r="T374" s="6"/>
      <c r="U374" s="6"/>
      <c r="V374" s="6"/>
    </row>
    <row r="375" spans="3:22">
      <c r="C375" s="6"/>
      <c r="D375" s="6"/>
      <c r="E375" s="6"/>
      <c r="F375" s="6"/>
      <c r="G375" s="6"/>
      <c r="R375" s="6"/>
      <c r="S375" s="6"/>
      <c r="T375" s="6"/>
      <c r="U375" s="6"/>
      <c r="V375" s="6"/>
    </row>
    <row r="376" spans="3:22">
      <c r="C376" s="6"/>
      <c r="D376" s="6"/>
      <c r="E376" s="6"/>
      <c r="F376" s="6"/>
      <c r="G376" s="6"/>
      <c r="R376" s="6"/>
      <c r="S376" s="6"/>
      <c r="T376" s="6"/>
      <c r="U376" s="6"/>
      <c r="V376" s="6"/>
    </row>
    <row r="377" spans="3:22">
      <c r="C377" s="6"/>
      <c r="D377" s="6"/>
      <c r="E377" s="6"/>
      <c r="F377" s="6"/>
      <c r="G377" s="6"/>
      <c r="R377" s="6"/>
      <c r="S377" s="6"/>
      <c r="T377" s="6"/>
      <c r="U377" s="6"/>
      <c r="V377" s="6"/>
    </row>
    <row r="378" spans="3:22">
      <c r="C378" s="6"/>
      <c r="D378" s="6"/>
      <c r="E378" s="6"/>
      <c r="F378" s="6"/>
      <c r="G378" s="6"/>
      <c r="R378" s="6"/>
      <c r="S378" s="6"/>
      <c r="T378" s="6"/>
      <c r="U378" s="6"/>
      <c r="V378" s="6"/>
    </row>
    <row r="379" spans="3:22">
      <c r="C379" s="6"/>
      <c r="D379" s="6"/>
      <c r="E379" s="6"/>
      <c r="F379" s="6"/>
      <c r="G379" s="6"/>
      <c r="R379" s="6"/>
      <c r="S379" s="6"/>
      <c r="T379" s="6"/>
      <c r="U379" s="6"/>
      <c r="V379" s="6"/>
    </row>
    <row r="380" spans="3:22">
      <c r="C380" s="6"/>
      <c r="D380" s="6"/>
      <c r="E380" s="6"/>
      <c r="F380" s="6"/>
      <c r="G380" s="6"/>
      <c r="R380" s="6"/>
      <c r="S380" s="6"/>
      <c r="T380" s="6"/>
      <c r="U380" s="6"/>
      <c r="V380" s="6"/>
    </row>
    <row r="381" spans="3:22">
      <c r="C381" s="6"/>
      <c r="D381" s="6"/>
      <c r="E381" s="6"/>
      <c r="F381" s="6"/>
      <c r="G381" s="6"/>
      <c r="R381" s="6"/>
      <c r="S381" s="6"/>
      <c r="T381" s="6"/>
      <c r="U381" s="6"/>
      <c r="V381" s="6"/>
    </row>
    <row r="382" spans="3:22">
      <c r="C382" s="6"/>
      <c r="D382" s="6"/>
      <c r="E382" s="6"/>
      <c r="F382" s="6"/>
      <c r="G382" s="6"/>
      <c r="R382" s="6"/>
      <c r="S382" s="6"/>
      <c r="T382" s="6"/>
      <c r="U382" s="6"/>
      <c r="V382" s="6"/>
    </row>
    <row r="383" spans="3:22">
      <c r="C383" s="6"/>
      <c r="D383" s="6"/>
      <c r="E383" s="6"/>
      <c r="F383" s="6"/>
      <c r="G383" s="6"/>
      <c r="R383" s="6"/>
      <c r="S383" s="6"/>
      <c r="T383" s="6"/>
      <c r="U383" s="6"/>
      <c r="V383" s="6"/>
    </row>
    <row r="384" spans="3:22">
      <c r="C384" s="6"/>
      <c r="D384" s="6"/>
      <c r="E384" s="6"/>
      <c r="F384" s="6"/>
      <c r="G384" s="6"/>
      <c r="R384" s="6"/>
      <c r="S384" s="6"/>
      <c r="T384" s="6"/>
      <c r="U384" s="6"/>
      <c r="V384" s="6"/>
    </row>
    <row r="385" spans="3:22">
      <c r="C385" s="6"/>
      <c r="D385" s="6"/>
      <c r="E385" s="6"/>
      <c r="F385" s="6"/>
      <c r="G385" s="6"/>
      <c r="R385" s="6"/>
      <c r="S385" s="6"/>
      <c r="T385" s="6"/>
      <c r="U385" s="6"/>
      <c r="V385" s="6"/>
    </row>
    <row r="386" spans="3:22">
      <c r="C386" s="6"/>
      <c r="D386" s="6"/>
      <c r="E386" s="6"/>
      <c r="F386" s="6"/>
      <c r="G386" s="6"/>
      <c r="R386" s="6"/>
      <c r="S386" s="6"/>
      <c r="T386" s="6"/>
      <c r="U386" s="6"/>
      <c r="V386" s="6"/>
    </row>
    <row r="387" spans="3:22">
      <c r="C387" s="6"/>
      <c r="D387" s="6"/>
      <c r="E387" s="6"/>
      <c r="F387" s="6"/>
      <c r="G387" s="6"/>
      <c r="R387" s="6"/>
      <c r="S387" s="6"/>
      <c r="T387" s="6"/>
      <c r="U387" s="6"/>
      <c r="V387" s="6"/>
    </row>
    <row r="388" spans="3:22">
      <c r="C388" s="6"/>
      <c r="D388" s="6"/>
      <c r="E388" s="6"/>
      <c r="F388" s="6"/>
      <c r="G388" s="6"/>
      <c r="R388" s="6"/>
      <c r="S388" s="6"/>
      <c r="T388" s="6"/>
      <c r="U388" s="6"/>
      <c r="V388" s="6"/>
    </row>
    <row r="389" spans="3:22">
      <c r="C389" s="6"/>
      <c r="D389" s="6"/>
      <c r="E389" s="6"/>
      <c r="F389" s="6"/>
      <c r="G389" s="6"/>
      <c r="R389" s="6"/>
      <c r="S389" s="6"/>
      <c r="T389" s="6"/>
      <c r="U389" s="6"/>
      <c r="V389" s="6"/>
    </row>
    <row r="390" spans="3:22">
      <c r="C390" s="6"/>
      <c r="D390" s="6"/>
      <c r="E390" s="6"/>
      <c r="F390" s="6"/>
      <c r="G390" s="6"/>
      <c r="R390" s="6"/>
      <c r="S390" s="6"/>
      <c r="T390" s="6"/>
      <c r="U390" s="6"/>
      <c r="V390" s="6"/>
    </row>
    <row r="391" spans="3:22">
      <c r="C391" s="6"/>
      <c r="D391" s="6"/>
      <c r="E391" s="6"/>
      <c r="F391" s="6"/>
      <c r="G391" s="6"/>
      <c r="R391" s="6"/>
      <c r="S391" s="6"/>
      <c r="T391" s="6"/>
      <c r="U391" s="6"/>
      <c r="V391" s="6"/>
    </row>
    <row r="392" spans="3:22">
      <c r="C392" s="6"/>
      <c r="D392" s="6"/>
      <c r="E392" s="6"/>
      <c r="F392" s="6"/>
      <c r="G392" s="6"/>
      <c r="R392" s="6"/>
      <c r="S392" s="6"/>
      <c r="T392" s="6"/>
      <c r="U392" s="6"/>
      <c r="V392" s="6"/>
    </row>
    <row r="393" spans="3:22">
      <c r="C393" s="6"/>
      <c r="D393" s="6"/>
      <c r="E393" s="6"/>
      <c r="F393" s="6"/>
      <c r="G393" s="6"/>
      <c r="R393" s="6"/>
      <c r="S393" s="6"/>
      <c r="T393" s="6"/>
      <c r="U393" s="6"/>
      <c r="V393" s="6"/>
    </row>
    <row r="394" spans="3:22">
      <c r="C394" s="6"/>
      <c r="D394" s="6"/>
      <c r="E394" s="6"/>
      <c r="F394" s="6"/>
      <c r="G394" s="6"/>
      <c r="R394" s="6"/>
      <c r="S394" s="6"/>
      <c r="T394" s="6"/>
      <c r="U394" s="6"/>
      <c r="V394" s="6"/>
    </row>
    <row r="395" spans="3:22">
      <c r="C395" s="6"/>
      <c r="D395" s="6"/>
      <c r="E395" s="6"/>
      <c r="F395" s="6"/>
      <c r="G395" s="6"/>
      <c r="R395" s="6"/>
      <c r="S395" s="6"/>
      <c r="T395" s="6"/>
      <c r="U395" s="6"/>
      <c r="V395" s="6"/>
    </row>
    <row r="396" spans="3:22">
      <c r="C396" s="6"/>
      <c r="D396" s="6"/>
      <c r="E396" s="6"/>
      <c r="F396" s="6"/>
      <c r="G396" s="6"/>
      <c r="R396" s="6"/>
      <c r="S396" s="6"/>
      <c r="T396" s="6"/>
      <c r="U396" s="6"/>
      <c r="V396" s="6"/>
    </row>
    <row r="397" spans="3:22">
      <c r="C397" s="6"/>
      <c r="D397" s="6"/>
      <c r="E397" s="6"/>
      <c r="F397" s="6"/>
      <c r="G397" s="6"/>
      <c r="R397" s="6"/>
      <c r="S397" s="6"/>
      <c r="T397" s="6"/>
      <c r="U397" s="6"/>
      <c r="V397" s="6"/>
    </row>
    <row r="398" spans="3:22">
      <c r="C398" s="6"/>
      <c r="D398" s="6"/>
      <c r="E398" s="6"/>
      <c r="F398" s="6"/>
      <c r="G398" s="6"/>
      <c r="R398" s="6"/>
      <c r="S398" s="6"/>
      <c r="T398" s="6"/>
      <c r="U398" s="6"/>
      <c r="V398" s="6"/>
    </row>
    <row r="399" spans="3:22">
      <c r="C399" s="6"/>
      <c r="D399" s="6"/>
      <c r="E399" s="6"/>
      <c r="F399" s="6"/>
      <c r="G399" s="6"/>
      <c r="R399" s="6"/>
      <c r="S399" s="6"/>
      <c r="T399" s="6"/>
      <c r="U399" s="6"/>
      <c r="V399" s="6"/>
    </row>
    <row r="400" spans="3:22">
      <c r="C400" s="6"/>
      <c r="D400" s="6"/>
      <c r="E400" s="6"/>
      <c r="F400" s="6"/>
      <c r="G400" s="6"/>
      <c r="R400" s="6"/>
      <c r="S400" s="6"/>
      <c r="T400" s="6"/>
      <c r="U400" s="6"/>
      <c r="V400" s="6"/>
    </row>
    <row r="401" spans="3:22">
      <c r="C401" s="6"/>
      <c r="D401" s="6"/>
      <c r="E401" s="6"/>
      <c r="F401" s="6"/>
      <c r="G401" s="6"/>
      <c r="R401" s="6"/>
      <c r="S401" s="6"/>
      <c r="T401" s="6"/>
      <c r="U401" s="6"/>
      <c r="V401" s="6"/>
    </row>
    <row r="402" spans="3:22">
      <c r="C402" s="6"/>
      <c r="D402" s="6"/>
      <c r="E402" s="6"/>
      <c r="F402" s="6"/>
      <c r="G402" s="6"/>
      <c r="R402" s="6"/>
      <c r="S402" s="6"/>
      <c r="T402" s="6"/>
      <c r="U402" s="6"/>
      <c r="V402" s="6"/>
    </row>
    <row r="403" spans="3:22">
      <c r="C403" s="6"/>
      <c r="D403" s="6"/>
      <c r="E403" s="6"/>
      <c r="F403" s="6"/>
      <c r="G403" s="6"/>
      <c r="R403" s="6"/>
      <c r="S403" s="6"/>
      <c r="T403" s="6"/>
      <c r="U403" s="6"/>
      <c r="V403" s="6"/>
    </row>
    <row r="404" spans="3:22">
      <c r="C404" s="6"/>
      <c r="D404" s="6"/>
      <c r="E404" s="6"/>
      <c r="F404" s="6"/>
      <c r="G404" s="6"/>
      <c r="R404" s="6"/>
      <c r="S404" s="6"/>
      <c r="T404" s="6"/>
      <c r="U404" s="6"/>
      <c r="V404" s="6"/>
    </row>
    <row r="405" spans="3:22">
      <c r="C405" s="6"/>
      <c r="D405" s="6"/>
      <c r="E405" s="6"/>
      <c r="F405" s="6"/>
      <c r="G405" s="6"/>
      <c r="R405" s="6"/>
      <c r="S405" s="6"/>
      <c r="T405" s="6"/>
      <c r="U405" s="6"/>
      <c r="V405" s="6"/>
    </row>
    <row r="406" spans="3:22">
      <c r="C406" s="6"/>
      <c r="D406" s="6"/>
      <c r="E406" s="6"/>
      <c r="F406" s="6"/>
      <c r="G406" s="6"/>
      <c r="R406" s="6"/>
      <c r="S406" s="6"/>
      <c r="T406" s="6"/>
      <c r="U406" s="6"/>
      <c r="V406" s="6"/>
    </row>
    <row r="407" spans="3:22">
      <c r="C407" s="6"/>
      <c r="D407" s="6"/>
      <c r="E407" s="6"/>
      <c r="F407" s="6"/>
      <c r="G407" s="6"/>
      <c r="R407" s="6"/>
      <c r="S407" s="6"/>
      <c r="T407" s="6"/>
      <c r="U407" s="6"/>
      <c r="V407" s="6"/>
    </row>
    <row r="408" spans="3:22">
      <c r="C408" s="6"/>
      <c r="D408" s="6"/>
      <c r="E408" s="6"/>
      <c r="F408" s="6"/>
      <c r="G408" s="6"/>
      <c r="R408" s="6"/>
      <c r="S408" s="6"/>
      <c r="T408" s="6"/>
      <c r="U408" s="6"/>
      <c r="V408" s="6"/>
    </row>
    <row r="409" spans="3:22">
      <c r="C409" s="6"/>
      <c r="D409" s="6"/>
      <c r="E409" s="6"/>
      <c r="F409" s="6"/>
      <c r="G409" s="6"/>
      <c r="R409" s="6"/>
      <c r="S409" s="6"/>
      <c r="T409" s="6"/>
      <c r="U409" s="6"/>
      <c r="V409" s="6"/>
    </row>
    <row r="410" spans="3:22">
      <c r="C410" s="6"/>
      <c r="D410" s="6"/>
      <c r="E410" s="6"/>
      <c r="F410" s="6"/>
      <c r="G410" s="6"/>
      <c r="R410" s="6"/>
      <c r="S410" s="6"/>
      <c r="T410" s="6"/>
      <c r="U410" s="6"/>
      <c r="V410" s="6"/>
    </row>
    <row r="411" spans="3:22">
      <c r="C411" s="6"/>
      <c r="D411" s="6"/>
      <c r="E411" s="6"/>
      <c r="F411" s="6"/>
      <c r="G411" s="6"/>
      <c r="R411" s="6"/>
      <c r="S411" s="6"/>
      <c r="T411" s="6"/>
      <c r="U411" s="6"/>
      <c r="V411" s="6"/>
    </row>
    <row r="412" spans="3:22">
      <c r="C412" s="6"/>
      <c r="D412" s="6"/>
      <c r="E412" s="6"/>
      <c r="F412" s="6"/>
      <c r="G412" s="6"/>
      <c r="R412" s="6"/>
      <c r="S412" s="6"/>
      <c r="T412" s="6"/>
      <c r="U412" s="6"/>
      <c r="V412" s="6"/>
    </row>
    <row r="413" spans="3:22">
      <c r="C413" s="6"/>
      <c r="D413" s="6"/>
      <c r="E413" s="6"/>
      <c r="F413" s="6"/>
      <c r="G413" s="6"/>
      <c r="R413" s="6"/>
      <c r="S413" s="6"/>
      <c r="T413" s="6"/>
      <c r="U413" s="6"/>
      <c r="V413" s="6"/>
    </row>
    <row r="414" spans="3:22">
      <c r="C414" s="6"/>
      <c r="D414" s="6"/>
      <c r="E414" s="6"/>
      <c r="F414" s="6"/>
      <c r="G414" s="6"/>
      <c r="R414" s="6"/>
      <c r="S414" s="6"/>
      <c r="T414" s="6"/>
      <c r="U414" s="6"/>
      <c r="V414" s="6"/>
    </row>
    <row r="415" spans="3:22">
      <c r="C415" s="6"/>
      <c r="D415" s="6"/>
      <c r="E415" s="6"/>
      <c r="F415" s="6"/>
      <c r="G415" s="6"/>
      <c r="R415" s="6"/>
      <c r="S415" s="6"/>
      <c r="T415" s="6"/>
      <c r="U415" s="6"/>
      <c r="V415" s="6"/>
    </row>
    <row r="416" spans="3:22">
      <c r="C416" s="6"/>
      <c r="D416" s="6"/>
      <c r="E416" s="6"/>
      <c r="F416" s="6"/>
      <c r="G416" s="6"/>
      <c r="R416" s="6"/>
      <c r="S416" s="6"/>
      <c r="T416" s="6"/>
      <c r="U416" s="6"/>
      <c r="V416" s="6"/>
    </row>
    <row r="417" spans="3:22">
      <c r="C417" s="6"/>
      <c r="D417" s="6"/>
      <c r="E417" s="6"/>
      <c r="F417" s="6"/>
      <c r="G417" s="6"/>
      <c r="R417" s="6"/>
      <c r="S417" s="6"/>
      <c r="T417" s="6"/>
      <c r="U417" s="6"/>
      <c r="V417" s="6"/>
    </row>
    <row r="418" spans="3:22">
      <c r="C418" s="6"/>
      <c r="D418" s="6"/>
      <c r="E418" s="6"/>
      <c r="F418" s="6"/>
      <c r="G418" s="6"/>
      <c r="R418" s="6"/>
      <c r="S418" s="6"/>
      <c r="T418" s="6"/>
      <c r="U418" s="6"/>
      <c r="V418" s="6"/>
    </row>
    <row r="419" spans="3:22">
      <c r="C419" s="6"/>
      <c r="D419" s="6"/>
      <c r="E419" s="6"/>
      <c r="F419" s="6"/>
      <c r="G419" s="6"/>
      <c r="R419" s="6"/>
      <c r="S419" s="6"/>
      <c r="T419" s="6"/>
      <c r="U419" s="6"/>
      <c r="V419" s="6"/>
    </row>
    <row r="420" spans="3:22">
      <c r="C420" s="6"/>
      <c r="D420" s="6"/>
      <c r="E420" s="6"/>
      <c r="F420" s="6"/>
      <c r="G420" s="6"/>
      <c r="R420" s="6"/>
      <c r="S420" s="6"/>
      <c r="T420" s="6"/>
      <c r="U420" s="6"/>
      <c r="V420" s="6"/>
    </row>
    <row r="421" spans="3:22">
      <c r="C421" s="6"/>
      <c r="D421" s="6"/>
      <c r="E421" s="6"/>
      <c r="F421" s="6"/>
      <c r="G421" s="6"/>
      <c r="R421" s="6"/>
      <c r="S421" s="6"/>
      <c r="T421" s="6"/>
      <c r="U421" s="6"/>
      <c r="V421" s="6"/>
    </row>
    <row r="422" spans="3:22">
      <c r="C422" s="6"/>
      <c r="D422" s="6"/>
      <c r="E422" s="6"/>
      <c r="F422" s="6"/>
      <c r="G422" s="6"/>
      <c r="R422" s="6"/>
      <c r="S422" s="6"/>
      <c r="T422" s="6"/>
      <c r="U422" s="6"/>
      <c r="V422" s="6"/>
    </row>
    <row r="423" spans="3:22">
      <c r="C423" s="6"/>
      <c r="D423" s="6"/>
      <c r="E423" s="6"/>
      <c r="F423" s="6"/>
      <c r="G423" s="6"/>
      <c r="R423" s="6"/>
      <c r="S423" s="6"/>
      <c r="T423" s="6"/>
      <c r="U423" s="6"/>
      <c r="V423" s="6"/>
    </row>
    <row r="424" spans="3:22">
      <c r="C424" s="6"/>
      <c r="D424" s="6"/>
      <c r="E424" s="6"/>
      <c r="F424" s="6"/>
      <c r="G424" s="6"/>
      <c r="R424" s="6"/>
      <c r="S424" s="6"/>
      <c r="T424" s="6"/>
      <c r="U424" s="6"/>
      <c r="V424" s="6"/>
    </row>
    <row r="425" spans="3:22">
      <c r="C425" s="6"/>
      <c r="D425" s="6"/>
      <c r="E425" s="6"/>
      <c r="F425" s="6"/>
      <c r="G425" s="6"/>
      <c r="R425" s="6"/>
      <c r="S425" s="6"/>
      <c r="T425" s="6"/>
      <c r="U425" s="6"/>
      <c r="V425" s="6"/>
    </row>
    <row r="426" spans="3:22">
      <c r="C426" s="6"/>
      <c r="D426" s="6"/>
      <c r="E426" s="6"/>
      <c r="F426" s="6"/>
      <c r="G426" s="6"/>
      <c r="R426" s="6"/>
      <c r="S426" s="6"/>
      <c r="T426" s="6"/>
      <c r="U426" s="6"/>
      <c r="V426" s="6"/>
    </row>
    <row r="427" spans="3:22">
      <c r="C427" s="6"/>
      <c r="D427" s="6"/>
      <c r="E427" s="6"/>
      <c r="F427" s="6"/>
      <c r="G427" s="6"/>
      <c r="R427" s="6"/>
      <c r="S427" s="6"/>
      <c r="T427" s="6"/>
      <c r="U427" s="6"/>
      <c r="V427" s="6"/>
    </row>
    <row r="428" spans="3:22">
      <c r="C428" s="6"/>
      <c r="D428" s="6"/>
      <c r="E428" s="6"/>
      <c r="F428" s="6"/>
      <c r="G428" s="6"/>
      <c r="R428" s="6"/>
      <c r="S428" s="6"/>
      <c r="T428" s="6"/>
      <c r="U428" s="6"/>
      <c r="V428" s="6"/>
    </row>
    <row r="429" spans="3:22">
      <c r="C429" s="6"/>
      <c r="D429" s="6"/>
      <c r="E429" s="6"/>
      <c r="F429" s="6"/>
      <c r="G429" s="6"/>
      <c r="R429" s="6"/>
      <c r="S429" s="6"/>
      <c r="T429" s="6"/>
      <c r="U429" s="6"/>
      <c r="V429" s="6"/>
    </row>
    <row r="430" spans="3:22">
      <c r="C430" s="6"/>
      <c r="D430" s="6"/>
      <c r="E430" s="6"/>
      <c r="F430" s="6"/>
      <c r="G430" s="6"/>
      <c r="R430" s="6"/>
      <c r="S430" s="6"/>
      <c r="T430" s="6"/>
      <c r="U430" s="6"/>
      <c r="V430" s="6"/>
    </row>
    <row r="431" spans="3:22">
      <c r="C431" s="6"/>
      <c r="D431" s="6"/>
      <c r="E431" s="6"/>
      <c r="F431" s="6"/>
      <c r="G431" s="6"/>
      <c r="R431" s="6"/>
      <c r="S431" s="6"/>
      <c r="T431" s="6"/>
      <c r="U431" s="6"/>
      <c r="V431" s="6"/>
    </row>
    <row r="432" spans="3:22">
      <c r="C432" s="6"/>
      <c r="D432" s="6"/>
      <c r="E432" s="6"/>
      <c r="F432" s="6"/>
      <c r="G432" s="6"/>
      <c r="R432" s="6"/>
      <c r="S432" s="6"/>
      <c r="T432" s="6"/>
      <c r="U432" s="6"/>
      <c r="V432" s="6"/>
    </row>
    <row r="433" spans="3:22">
      <c r="C433" s="6"/>
      <c r="D433" s="6"/>
      <c r="E433" s="6"/>
      <c r="F433" s="6"/>
      <c r="G433" s="6"/>
      <c r="R433" s="6"/>
      <c r="S433" s="6"/>
      <c r="T433" s="6"/>
      <c r="U433" s="6"/>
      <c r="V433" s="6"/>
    </row>
    <row r="434" spans="3:22">
      <c r="C434" s="6"/>
      <c r="D434" s="6"/>
      <c r="E434" s="6"/>
      <c r="F434" s="6"/>
      <c r="G434" s="6"/>
      <c r="R434" s="6"/>
      <c r="S434" s="6"/>
      <c r="T434" s="6"/>
      <c r="U434" s="6"/>
      <c r="V434" s="6"/>
    </row>
    <row r="435" spans="3:22">
      <c r="C435" s="6"/>
      <c r="D435" s="6"/>
      <c r="E435" s="6"/>
      <c r="F435" s="6"/>
      <c r="G435" s="6"/>
      <c r="R435" s="6"/>
      <c r="S435" s="6"/>
      <c r="T435" s="6"/>
      <c r="U435" s="6"/>
      <c r="V435" s="6"/>
    </row>
    <row r="436" spans="3:22">
      <c r="C436" s="6"/>
      <c r="D436" s="6"/>
      <c r="E436" s="6"/>
      <c r="F436" s="6"/>
      <c r="G436" s="6"/>
      <c r="R436" s="6"/>
      <c r="S436" s="6"/>
      <c r="T436" s="6"/>
      <c r="U436" s="6"/>
      <c r="V436" s="6"/>
    </row>
    <row r="437" spans="3:22">
      <c r="C437" s="6"/>
      <c r="D437" s="6"/>
      <c r="E437" s="6"/>
      <c r="F437" s="6"/>
      <c r="G437" s="6"/>
      <c r="R437" s="6"/>
      <c r="S437" s="6"/>
      <c r="T437" s="6"/>
      <c r="U437" s="6"/>
      <c r="V437" s="6"/>
    </row>
    <row r="438" spans="3:22">
      <c r="C438" s="6"/>
      <c r="D438" s="6"/>
      <c r="E438" s="6"/>
      <c r="F438" s="6"/>
      <c r="G438" s="6"/>
      <c r="R438" s="6"/>
      <c r="S438" s="6"/>
      <c r="T438" s="6"/>
      <c r="U438" s="6"/>
      <c r="V438" s="6"/>
    </row>
    <row r="439" spans="3:22">
      <c r="C439" s="6"/>
      <c r="D439" s="6"/>
      <c r="E439" s="6"/>
      <c r="F439" s="6"/>
      <c r="G439" s="6"/>
      <c r="R439" s="6"/>
      <c r="S439" s="6"/>
      <c r="T439" s="6"/>
      <c r="U439" s="6"/>
      <c r="V439" s="6"/>
    </row>
    <row r="440" spans="3:22">
      <c r="C440" s="6"/>
      <c r="D440" s="6"/>
      <c r="E440" s="6"/>
      <c r="F440" s="6"/>
      <c r="G440" s="6"/>
      <c r="R440" s="6"/>
      <c r="S440" s="6"/>
      <c r="T440" s="6"/>
      <c r="U440" s="6"/>
      <c r="V440" s="6"/>
    </row>
    <row r="441" spans="3:22">
      <c r="C441" s="6"/>
      <c r="D441" s="6"/>
      <c r="E441" s="6"/>
      <c r="F441" s="6"/>
      <c r="G441" s="6"/>
      <c r="R441" s="6"/>
      <c r="S441" s="6"/>
      <c r="T441" s="6"/>
      <c r="U441" s="6"/>
      <c r="V441" s="6"/>
    </row>
    <row r="442" spans="3:22">
      <c r="C442" s="6"/>
      <c r="D442" s="6"/>
      <c r="E442" s="6"/>
      <c r="F442" s="6"/>
      <c r="G442" s="6"/>
      <c r="R442" s="6"/>
      <c r="S442" s="6"/>
      <c r="T442" s="6"/>
      <c r="U442" s="6"/>
      <c r="V442" s="6"/>
    </row>
    <row r="443" spans="3:22">
      <c r="C443" s="6"/>
      <c r="D443" s="6"/>
      <c r="E443" s="6"/>
      <c r="F443" s="6"/>
      <c r="G443" s="6"/>
      <c r="R443" s="6"/>
      <c r="S443" s="6"/>
      <c r="T443" s="6"/>
      <c r="U443" s="6"/>
      <c r="V443" s="6"/>
    </row>
    <row r="444" spans="3:22">
      <c r="C444" s="6"/>
      <c r="D444" s="6"/>
      <c r="E444" s="6"/>
      <c r="F444" s="6"/>
      <c r="G444" s="6"/>
      <c r="R444" s="6"/>
      <c r="S444" s="6"/>
      <c r="T444" s="6"/>
      <c r="U444" s="6"/>
      <c r="V444" s="6"/>
    </row>
    <row r="445" spans="3:22">
      <c r="C445" s="6"/>
      <c r="D445" s="6"/>
      <c r="E445" s="6"/>
      <c r="F445" s="6"/>
      <c r="G445" s="6"/>
      <c r="R445" s="6"/>
      <c r="S445" s="6"/>
      <c r="T445" s="6"/>
      <c r="U445" s="6"/>
      <c r="V445" s="6"/>
    </row>
    <row r="446" spans="3:22">
      <c r="C446" s="6"/>
      <c r="D446" s="6"/>
      <c r="E446" s="6"/>
      <c r="F446" s="6"/>
      <c r="G446" s="6"/>
      <c r="R446" s="6"/>
      <c r="S446" s="6"/>
      <c r="T446" s="6"/>
      <c r="U446" s="6"/>
      <c r="V446" s="6"/>
    </row>
    <row r="447" spans="3:22">
      <c r="C447" s="6"/>
      <c r="D447" s="6"/>
      <c r="E447" s="6"/>
      <c r="F447" s="6"/>
      <c r="G447" s="6"/>
      <c r="R447" s="6"/>
      <c r="S447" s="6"/>
      <c r="T447" s="6"/>
      <c r="U447" s="6"/>
      <c r="V447" s="6"/>
    </row>
    <row r="448" spans="3:22">
      <c r="C448" s="6"/>
      <c r="D448" s="6"/>
      <c r="E448" s="6"/>
      <c r="F448" s="6"/>
      <c r="G448" s="6"/>
      <c r="R448" s="6"/>
      <c r="S448" s="6"/>
      <c r="T448" s="6"/>
      <c r="U448" s="6"/>
      <c r="V448" s="6"/>
    </row>
    <row r="449" spans="3:22">
      <c r="C449" s="6"/>
      <c r="D449" s="6"/>
      <c r="E449" s="6"/>
      <c r="F449" s="6"/>
      <c r="G449" s="6"/>
      <c r="R449" s="6"/>
      <c r="S449" s="6"/>
      <c r="T449" s="6"/>
      <c r="U449" s="6"/>
      <c r="V449" s="6"/>
    </row>
    <row r="450" spans="3:22">
      <c r="C450" s="6"/>
      <c r="D450" s="6"/>
      <c r="E450" s="6"/>
      <c r="F450" s="6"/>
      <c r="G450" s="6"/>
      <c r="R450" s="6"/>
      <c r="S450" s="6"/>
      <c r="T450" s="6"/>
      <c r="U450" s="6"/>
      <c r="V450" s="6"/>
    </row>
    <row r="451" spans="3:22">
      <c r="C451" s="6"/>
      <c r="D451" s="6"/>
      <c r="E451" s="6"/>
      <c r="F451" s="6"/>
      <c r="G451" s="6"/>
      <c r="R451" s="6"/>
      <c r="S451" s="6"/>
      <c r="T451" s="6"/>
      <c r="U451" s="6"/>
      <c r="V451" s="6"/>
    </row>
    <row r="452" spans="3:22">
      <c r="C452" s="6"/>
      <c r="D452" s="6"/>
      <c r="E452" s="6"/>
      <c r="F452" s="6"/>
      <c r="G452" s="6"/>
      <c r="R452" s="6"/>
      <c r="S452" s="6"/>
      <c r="T452" s="6"/>
      <c r="U452" s="6"/>
      <c r="V452" s="6"/>
    </row>
    <row r="453" spans="3:22">
      <c r="C453" s="6"/>
      <c r="D453" s="6"/>
      <c r="E453" s="6"/>
      <c r="F453" s="6"/>
      <c r="G453" s="6"/>
      <c r="R453" s="6"/>
      <c r="S453" s="6"/>
      <c r="T453" s="6"/>
      <c r="U453" s="6"/>
      <c r="V453" s="6"/>
    </row>
    <row r="454" spans="3:22">
      <c r="C454" s="6"/>
      <c r="D454" s="6"/>
      <c r="E454" s="6"/>
      <c r="F454" s="6"/>
      <c r="G454" s="6"/>
      <c r="R454" s="6"/>
      <c r="S454" s="6"/>
      <c r="T454" s="6"/>
      <c r="U454" s="6"/>
      <c r="V454" s="6"/>
    </row>
    <row r="455" spans="3:22">
      <c r="C455" s="6"/>
      <c r="D455" s="6"/>
      <c r="E455" s="6"/>
      <c r="F455" s="6"/>
      <c r="G455" s="6"/>
      <c r="R455" s="6"/>
      <c r="S455" s="6"/>
      <c r="T455" s="6"/>
      <c r="U455" s="6"/>
      <c r="V455" s="6"/>
    </row>
    <row r="456" spans="3:22">
      <c r="C456" s="6"/>
      <c r="D456" s="6"/>
      <c r="E456" s="6"/>
      <c r="F456" s="6"/>
      <c r="G456" s="6"/>
      <c r="R456" s="6"/>
      <c r="S456" s="6"/>
      <c r="T456" s="6"/>
      <c r="U456" s="6"/>
      <c r="V456" s="6"/>
    </row>
    <row r="457" spans="3:22">
      <c r="C457" s="6"/>
      <c r="D457" s="6"/>
      <c r="E457" s="6"/>
      <c r="F457" s="6"/>
      <c r="G457" s="6"/>
      <c r="R457" s="6"/>
      <c r="S457" s="6"/>
      <c r="T457" s="6"/>
      <c r="U457" s="6"/>
      <c r="V457" s="6"/>
    </row>
    <row r="458" spans="3:22">
      <c r="C458" s="6"/>
      <c r="D458" s="6"/>
      <c r="E458" s="6"/>
      <c r="F458" s="6"/>
      <c r="G458" s="6"/>
      <c r="R458" s="6"/>
      <c r="S458" s="6"/>
      <c r="T458" s="6"/>
      <c r="U458" s="6"/>
      <c r="V458" s="6"/>
    </row>
    <row r="459" spans="3:22">
      <c r="C459" s="6"/>
      <c r="D459" s="6"/>
      <c r="E459" s="6"/>
      <c r="F459" s="6"/>
      <c r="G459" s="6"/>
      <c r="R459" s="6"/>
      <c r="S459" s="6"/>
      <c r="T459" s="6"/>
      <c r="U459" s="6"/>
      <c r="V459" s="6"/>
    </row>
    <row r="460" spans="3:22">
      <c r="C460" s="6"/>
      <c r="D460" s="6"/>
      <c r="E460" s="6"/>
      <c r="F460" s="6"/>
      <c r="G460" s="6"/>
      <c r="R460" s="6"/>
      <c r="S460" s="6"/>
      <c r="T460" s="6"/>
      <c r="U460" s="6"/>
      <c r="V460" s="6"/>
    </row>
    <row r="461" spans="3:22">
      <c r="C461" s="6"/>
      <c r="D461" s="6"/>
      <c r="E461" s="6"/>
      <c r="F461" s="6"/>
      <c r="G461" s="6"/>
      <c r="R461" s="6"/>
      <c r="S461" s="6"/>
      <c r="T461" s="6"/>
      <c r="U461" s="6"/>
      <c r="V461" s="6"/>
    </row>
    <row r="462" spans="3:22">
      <c r="C462" s="6"/>
      <c r="D462" s="6"/>
      <c r="E462" s="6"/>
      <c r="F462" s="6"/>
      <c r="G462" s="6"/>
      <c r="R462" s="6"/>
      <c r="S462" s="6"/>
      <c r="T462" s="6"/>
      <c r="U462" s="6"/>
      <c r="V462" s="6"/>
    </row>
    <row r="463" spans="3:22">
      <c r="C463" s="6"/>
      <c r="D463" s="6"/>
      <c r="E463" s="6"/>
      <c r="F463" s="6"/>
      <c r="G463" s="6"/>
      <c r="R463" s="6"/>
      <c r="S463" s="6"/>
      <c r="T463" s="6"/>
      <c r="U463" s="6"/>
      <c r="V463" s="6"/>
    </row>
    <row r="464" spans="3:22">
      <c r="C464" s="6"/>
      <c r="D464" s="6"/>
      <c r="E464" s="6"/>
      <c r="F464" s="6"/>
      <c r="G464" s="6"/>
      <c r="R464" s="6"/>
      <c r="S464" s="6"/>
      <c r="T464" s="6"/>
      <c r="U464" s="6"/>
      <c r="V464" s="6"/>
    </row>
    <row r="465" spans="3:22">
      <c r="C465" s="6"/>
      <c r="D465" s="6"/>
      <c r="E465" s="6"/>
      <c r="F465" s="6"/>
      <c r="G465" s="6"/>
      <c r="R465" s="6"/>
      <c r="S465" s="6"/>
      <c r="T465" s="6"/>
      <c r="U465" s="6"/>
      <c r="V465" s="6"/>
    </row>
    <row r="466" spans="3:22">
      <c r="C466" s="6"/>
      <c r="D466" s="6"/>
      <c r="E466" s="6"/>
      <c r="F466" s="6"/>
      <c r="G466" s="6"/>
      <c r="R466" s="6"/>
      <c r="S466" s="6"/>
      <c r="T466" s="6"/>
      <c r="U466" s="6"/>
      <c r="V466" s="6"/>
    </row>
    <row r="467" spans="3:22">
      <c r="C467" s="6"/>
      <c r="D467" s="6"/>
      <c r="E467" s="6"/>
      <c r="F467" s="6"/>
      <c r="G467" s="6"/>
      <c r="R467" s="6"/>
      <c r="S467" s="6"/>
      <c r="T467" s="6"/>
      <c r="U467" s="6"/>
      <c r="V467" s="6"/>
    </row>
    <row r="468" spans="3:22">
      <c r="C468" s="6"/>
      <c r="D468" s="6"/>
      <c r="E468" s="6"/>
      <c r="F468" s="6"/>
      <c r="G468" s="6"/>
      <c r="R468" s="6"/>
      <c r="S468" s="6"/>
      <c r="T468" s="6"/>
      <c r="U468" s="6"/>
      <c r="V468" s="6"/>
    </row>
    <row r="469" spans="3:22">
      <c r="C469" s="6"/>
      <c r="D469" s="6"/>
      <c r="E469" s="6"/>
      <c r="F469" s="6"/>
      <c r="G469" s="6"/>
      <c r="R469" s="6"/>
      <c r="S469" s="6"/>
      <c r="T469" s="6"/>
      <c r="U469" s="6"/>
      <c r="V469" s="6"/>
    </row>
    <row r="470" spans="3:22">
      <c r="C470" s="6"/>
      <c r="D470" s="6"/>
      <c r="E470" s="6"/>
      <c r="F470" s="6"/>
      <c r="G470" s="6"/>
      <c r="R470" s="6"/>
      <c r="S470" s="6"/>
      <c r="T470" s="6"/>
      <c r="U470" s="6"/>
      <c r="V470" s="6"/>
    </row>
    <row r="471" spans="3:22">
      <c r="C471" s="6"/>
      <c r="D471" s="6"/>
      <c r="E471" s="6"/>
      <c r="F471" s="6"/>
      <c r="G471" s="6"/>
      <c r="R471" s="6"/>
      <c r="S471" s="6"/>
      <c r="T471" s="6"/>
      <c r="U471" s="6"/>
      <c r="V471" s="6"/>
    </row>
    <row r="472" spans="3:22">
      <c r="C472" s="6"/>
      <c r="D472" s="6"/>
      <c r="E472" s="6"/>
      <c r="F472" s="6"/>
      <c r="G472" s="6"/>
      <c r="R472" s="6"/>
      <c r="S472" s="6"/>
      <c r="T472" s="6"/>
      <c r="U472" s="6"/>
      <c r="V472" s="6"/>
    </row>
    <row r="473" spans="3:22">
      <c r="C473" s="6"/>
      <c r="D473" s="6"/>
      <c r="E473" s="6"/>
      <c r="F473" s="6"/>
      <c r="G473" s="6"/>
      <c r="R473" s="6"/>
      <c r="S473" s="6"/>
      <c r="T473" s="6"/>
      <c r="U473" s="6"/>
      <c r="V473" s="6"/>
    </row>
    <row r="474" spans="3:22">
      <c r="C474" s="6"/>
      <c r="D474" s="6"/>
      <c r="E474" s="6"/>
      <c r="F474" s="6"/>
      <c r="G474" s="6"/>
      <c r="R474" s="6"/>
      <c r="S474" s="6"/>
      <c r="T474" s="6"/>
      <c r="U474" s="6"/>
      <c r="V474" s="6"/>
    </row>
    <row r="475" spans="3:22">
      <c r="C475" s="6"/>
      <c r="D475" s="6"/>
      <c r="E475" s="6"/>
      <c r="F475" s="6"/>
      <c r="G475" s="6"/>
      <c r="R475" s="6"/>
      <c r="S475" s="6"/>
      <c r="T475" s="6"/>
      <c r="U475" s="6"/>
      <c r="V475" s="6"/>
    </row>
    <row r="476" spans="3:22">
      <c r="C476" s="6"/>
      <c r="D476" s="6"/>
      <c r="E476" s="6"/>
      <c r="F476" s="6"/>
      <c r="G476" s="6"/>
      <c r="R476" s="6"/>
      <c r="S476" s="6"/>
      <c r="T476" s="6"/>
      <c r="U476" s="6"/>
      <c r="V476" s="6"/>
    </row>
    <row r="477" spans="3:22">
      <c r="C477" s="6"/>
      <c r="D477" s="6"/>
      <c r="E477" s="6"/>
      <c r="F477" s="6"/>
      <c r="G477" s="6"/>
      <c r="R477" s="6"/>
      <c r="S477" s="6"/>
      <c r="T477" s="6"/>
      <c r="U477" s="6"/>
      <c r="V477" s="6"/>
    </row>
    <row r="478" spans="3:22">
      <c r="C478" s="6"/>
      <c r="D478" s="6"/>
      <c r="E478" s="6"/>
      <c r="F478" s="6"/>
      <c r="G478" s="6"/>
      <c r="R478" s="6"/>
      <c r="S478" s="6"/>
      <c r="T478" s="6"/>
      <c r="U478" s="6"/>
      <c r="V478" s="6"/>
    </row>
    <row r="479" spans="3:22">
      <c r="C479" s="6"/>
      <c r="D479" s="6"/>
      <c r="E479" s="6"/>
      <c r="F479" s="6"/>
      <c r="G479" s="6"/>
      <c r="R479" s="6"/>
      <c r="S479" s="6"/>
      <c r="T479" s="6"/>
      <c r="U479" s="6"/>
      <c r="V479" s="6"/>
    </row>
    <row r="480" spans="3:22">
      <c r="C480" s="6"/>
      <c r="D480" s="6"/>
      <c r="E480" s="6"/>
      <c r="F480" s="6"/>
      <c r="G480" s="6"/>
      <c r="R480" s="6"/>
      <c r="S480" s="6"/>
      <c r="T480" s="6"/>
      <c r="U480" s="6"/>
      <c r="V480" s="6"/>
    </row>
    <row r="481" spans="3:22">
      <c r="C481" s="6"/>
      <c r="D481" s="6"/>
      <c r="E481" s="6"/>
      <c r="F481" s="6"/>
      <c r="G481" s="6"/>
      <c r="R481" s="6"/>
      <c r="S481" s="6"/>
      <c r="T481" s="6"/>
      <c r="U481" s="6"/>
      <c r="V481" s="6"/>
    </row>
    <row r="482" spans="3:22">
      <c r="C482" s="6"/>
      <c r="D482" s="6"/>
      <c r="E482" s="6"/>
      <c r="F482" s="6"/>
      <c r="G482" s="6"/>
      <c r="R482" s="6"/>
      <c r="S482" s="6"/>
      <c r="T482" s="6"/>
      <c r="U482" s="6"/>
      <c r="V482" s="6"/>
    </row>
    <row r="483" spans="3:22">
      <c r="C483" s="6"/>
      <c r="D483" s="6"/>
      <c r="E483" s="6"/>
      <c r="F483" s="6"/>
      <c r="G483" s="6"/>
      <c r="R483" s="6"/>
      <c r="S483" s="6"/>
      <c r="T483" s="6"/>
      <c r="U483" s="6"/>
      <c r="V483" s="6"/>
    </row>
    <row r="484" spans="3:22">
      <c r="C484" s="6"/>
      <c r="D484" s="6"/>
      <c r="E484" s="6"/>
      <c r="F484" s="6"/>
      <c r="G484" s="6"/>
      <c r="R484" s="6"/>
      <c r="S484" s="6"/>
      <c r="T484" s="6"/>
      <c r="U484" s="6"/>
      <c r="V484" s="6"/>
    </row>
    <row r="485" spans="3:22">
      <c r="C485" s="6"/>
      <c r="D485" s="6"/>
      <c r="E485" s="6"/>
      <c r="F485" s="6"/>
      <c r="G485" s="6"/>
      <c r="R485" s="6"/>
      <c r="S485" s="6"/>
      <c r="T485" s="6"/>
      <c r="U485" s="6"/>
      <c r="V485" s="6"/>
    </row>
    <row r="486" spans="3:22">
      <c r="C486" s="6"/>
      <c r="D486" s="6"/>
      <c r="E486" s="6"/>
      <c r="F486" s="6"/>
      <c r="G486" s="6"/>
      <c r="R486" s="6"/>
      <c r="S486" s="6"/>
      <c r="T486" s="6"/>
      <c r="U486" s="6"/>
      <c r="V486" s="6"/>
    </row>
    <row r="487" spans="3:22">
      <c r="C487" s="6"/>
      <c r="D487" s="6"/>
      <c r="E487" s="6"/>
      <c r="F487" s="6"/>
      <c r="G487" s="6"/>
      <c r="R487" s="6"/>
      <c r="S487" s="6"/>
      <c r="T487" s="6"/>
      <c r="U487" s="6"/>
      <c r="V487" s="6"/>
    </row>
    <row r="488" spans="3:22">
      <c r="C488" s="6"/>
      <c r="D488" s="6"/>
      <c r="E488" s="6"/>
      <c r="F488" s="6"/>
      <c r="G488" s="6"/>
      <c r="R488" s="6"/>
      <c r="S488" s="6"/>
      <c r="T488" s="6"/>
      <c r="U488" s="6"/>
      <c r="V488" s="6"/>
    </row>
    <row r="489" spans="3:22">
      <c r="C489" s="6"/>
      <c r="D489" s="6"/>
      <c r="E489" s="6"/>
      <c r="F489" s="6"/>
      <c r="G489" s="6"/>
      <c r="R489" s="6"/>
      <c r="S489" s="6"/>
      <c r="T489" s="6"/>
      <c r="U489" s="6"/>
      <c r="V489" s="6"/>
    </row>
    <row r="490" spans="3:22">
      <c r="C490" s="6"/>
      <c r="D490" s="6"/>
      <c r="E490" s="6"/>
      <c r="F490" s="6"/>
      <c r="G490" s="6"/>
      <c r="R490" s="6"/>
      <c r="S490" s="6"/>
      <c r="T490" s="6"/>
      <c r="U490" s="6"/>
      <c r="V490" s="6"/>
    </row>
    <row r="491" spans="3:22">
      <c r="C491" s="6"/>
      <c r="D491" s="6"/>
      <c r="E491" s="6"/>
      <c r="F491" s="6"/>
      <c r="G491" s="6"/>
      <c r="R491" s="6"/>
      <c r="S491" s="6"/>
      <c r="T491" s="6"/>
      <c r="U491" s="6"/>
      <c r="V491" s="6"/>
    </row>
    <row r="492" spans="3:22">
      <c r="C492" s="6"/>
      <c r="D492" s="6"/>
      <c r="E492" s="6"/>
      <c r="F492" s="6"/>
      <c r="G492" s="6"/>
      <c r="R492" s="6"/>
      <c r="S492" s="6"/>
      <c r="T492" s="6"/>
      <c r="U492" s="6"/>
      <c r="V492" s="6"/>
    </row>
    <row r="493" spans="3:22">
      <c r="C493" s="6"/>
      <c r="D493" s="6"/>
      <c r="E493" s="6"/>
      <c r="F493" s="6"/>
      <c r="G493" s="6"/>
      <c r="R493" s="6"/>
      <c r="S493" s="6"/>
      <c r="T493" s="6"/>
      <c r="U493" s="6"/>
      <c r="V493" s="6"/>
    </row>
    <row r="494" spans="3:22">
      <c r="C494" s="6"/>
      <c r="D494" s="6"/>
      <c r="E494" s="6"/>
      <c r="F494" s="6"/>
      <c r="G494" s="6"/>
      <c r="R494" s="6"/>
      <c r="S494" s="6"/>
      <c r="T494" s="6"/>
      <c r="U494" s="6"/>
      <c r="V494" s="6"/>
    </row>
    <row r="495" spans="3:22">
      <c r="C495" s="6"/>
      <c r="D495" s="6"/>
      <c r="E495" s="6"/>
      <c r="F495" s="6"/>
      <c r="G495" s="6"/>
      <c r="R495" s="6"/>
      <c r="S495" s="6"/>
      <c r="T495" s="6"/>
      <c r="U495" s="6"/>
      <c r="V495" s="6"/>
    </row>
    <row r="496" spans="3:22">
      <c r="C496" s="6"/>
      <c r="D496" s="6"/>
      <c r="E496" s="6"/>
      <c r="F496" s="6"/>
      <c r="G496" s="6"/>
      <c r="R496" s="6"/>
      <c r="S496" s="6"/>
      <c r="T496" s="6"/>
      <c r="U496" s="6"/>
      <c r="V496" s="6"/>
    </row>
    <row r="497" spans="3:22">
      <c r="C497" s="6"/>
      <c r="D497" s="6"/>
      <c r="E497" s="6"/>
      <c r="F497" s="6"/>
      <c r="G497" s="6"/>
      <c r="R497" s="6"/>
      <c r="S497" s="6"/>
      <c r="T497" s="6"/>
      <c r="U497" s="6"/>
      <c r="V497" s="6"/>
    </row>
    <row r="498" spans="3:22">
      <c r="C498" s="6"/>
      <c r="D498" s="6"/>
      <c r="E498" s="6"/>
      <c r="F498" s="6"/>
      <c r="G498" s="6"/>
      <c r="R498" s="6"/>
      <c r="S498" s="6"/>
      <c r="T498" s="6"/>
      <c r="U498" s="6"/>
      <c r="V498" s="6"/>
    </row>
    <row r="499" spans="3:22">
      <c r="C499" s="6"/>
      <c r="D499" s="6"/>
      <c r="E499" s="6"/>
      <c r="F499" s="6"/>
      <c r="G499" s="6"/>
      <c r="R499" s="6"/>
      <c r="S499" s="6"/>
      <c r="T499" s="6"/>
      <c r="U499" s="6"/>
      <c r="V499" s="6"/>
    </row>
    <row r="500" spans="3:22">
      <c r="C500" s="6"/>
      <c r="D500" s="6"/>
      <c r="E500" s="6"/>
      <c r="F500" s="6"/>
      <c r="G500" s="6"/>
      <c r="R500" s="6"/>
      <c r="S500" s="6"/>
      <c r="T500" s="6"/>
      <c r="U500" s="6"/>
      <c r="V500" s="6"/>
    </row>
    <row r="501" spans="3:22">
      <c r="C501" s="6"/>
      <c r="D501" s="6"/>
      <c r="E501" s="6"/>
      <c r="F501" s="6"/>
      <c r="G501" s="6"/>
      <c r="R501" s="6"/>
      <c r="S501" s="6"/>
      <c r="T501" s="6"/>
      <c r="U501" s="6"/>
      <c r="V501" s="6"/>
    </row>
    <row r="502" spans="3:22">
      <c r="C502" s="6"/>
      <c r="D502" s="6"/>
      <c r="E502" s="6"/>
      <c r="F502" s="6"/>
      <c r="G502" s="6"/>
      <c r="R502" s="6"/>
      <c r="S502" s="6"/>
      <c r="T502" s="6"/>
      <c r="U502" s="6"/>
      <c r="V502" s="6"/>
    </row>
    <row r="503" spans="3:22">
      <c r="C503" s="6"/>
      <c r="D503" s="6"/>
      <c r="E503" s="6"/>
      <c r="F503" s="6"/>
      <c r="G503" s="6"/>
      <c r="R503" s="6"/>
      <c r="S503" s="6"/>
      <c r="T503" s="6"/>
      <c r="U503" s="6"/>
      <c r="V503" s="6"/>
    </row>
    <row r="504" spans="3:22">
      <c r="C504" s="6"/>
      <c r="D504" s="6"/>
      <c r="E504" s="6"/>
      <c r="F504" s="6"/>
      <c r="G504" s="6"/>
      <c r="R504" s="6"/>
      <c r="S504" s="6"/>
      <c r="T504" s="6"/>
      <c r="U504" s="6"/>
      <c r="V504" s="6"/>
    </row>
    <row r="505" spans="3:22">
      <c r="C505" s="6"/>
      <c r="D505" s="6"/>
      <c r="E505" s="6"/>
      <c r="F505" s="6"/>
      <c r="G505" s="6"/>
      <c r="R505" s="6"/>
      <c r="S505" s="6"/>
      <c r="T505" s="6"/>
      <c r="U505" s="6"/>
      <c r="V505" s="6"/>
    </row>
    <row r="506" spans="3:22">
      <c r="C506" s="6"/>
      <c r="D506" s="6"/>
      <c r="E506" s="6"/>
      <c r="F506" s="6"/>
      <c r="G506" s="6"/>
      <c r="R506" s="6"/>
      <c r="S506" s="6"/>
      <c r="T506" s="6"/>
      <c r="U506" s="6"/>
      <c r="V506" s="6"/>
    </row>
    <row r="507" spans="3:22">
      <c r="C507" s="6"/>
      <c r="D507" s="6"/>
      <c r="E507" s="6"/>
      <c r="F507" s="6"/>
      <c r="G507" s="6"/>
      <c r="R507" s="6"/>
      <c r="S507" s="6"/>
      <c r="T507" s="6"/>
      <c r="U507" s="6"/>
      <c r="V507" s="6"/>
    </row>
    <row r="508" spans="3:22">
      <c r="C508" s="6"/>
      <c r="D508" s="6"/>
      <c r="E508" s="6"/>
      <c r="F508" s="6"/>
      <c r="G508" s="6"/>
      <c r="R508" s="6"/>
      <c r="S508" s="6"/>
      <c r="T508" s="6"/>
      <c r="U508" s="6"/>
      <c r="V508" s="6"/>
    </row>
    <row r="509" spans="3:22">
      <c r="C509" s="6"/>
      <c r="D509" s="6"/>
      <c r="E509" s="6"/>
      <c r="F509" s="6"/>
      <c r="G509" s="6"/>
      <c r="R509" s="6"/>
      <c r="S509" s="6"/>
      <c r="T509" s="6"/>
      <c r="U509" s="6"/>
      <c r="V509" s="6"/>
    </row>
    <row r="510" spans="3:22">
      <c r="C510" s="6"/>
      <c r="D510" s="6"/>
      <c r="E510" s="6"/>
      <c r="F510" s="6"/>
      <c r="G510" s="6"/>
      <c r="R510" s="6"/>
      <c r="S510" s="6"/>
      <c r="T510" s="6"/>
      <c r="U510" s="6"/>
      <c r="V510" s="6"/>
    </row>
    <row r="511" spans="3:22">
      <c r="C511" s="6"/>
      <c r="D511" s="6"/>
      <c r="E511" s="6"/>
      <c r="F511" s="6"/>
      <c r="G511" s="6"/>
      <c r="R511" s="6"/>
      <c r="S511" s="6"/>
      <c r="T511" s="6"/>
      <c r="U511" s="6"/>
      <c r="V511" s="6"/>
    </row>
    <row r="512" spans="3:22">
      <c r="C512" s="6"/>
      <c r="D512" s="6"/>
      <c r="E512" s="6"/>
      <c r="F512" s="6"/>
      <c r="G512" s="6"/>
      <c r="R512" s="6"/>
      <c r="S512" s="6"/>
      <c r="T512" s="6"/>
      <c r="U512" s="6"/>
      <c r="V512" s="6"/>
    </row>
    <row r="513" spans="3:22">
      <c r="C513" s="6"/>
      <c r="D513" s="6"/>
      <c r="E513" s="6"/>
      <c r="F513" s="6"/>
      <c r="G513" s="6"/>
      <c r="R513" s="6"/>
      <c r="S513" s="6"/>
      <c r="T513" s="6"/>
      <c r="U513" s="6"/>
      <c r="V513" s="6"/>
    </row>
    <row r="514" spans="3:22">
      <c r="C514" s="6"/>
      <c r="D514" s="6"/>
      <c r="E514" s="6"/>
      <c r="F514" s="6"/>
      <c r="G514" s="6"/>
      <c r="R514" s="6"/>
      <c r="S514" s="6"/>
      <c r="T514" s="6"/>
      <c r="U514" s="6"/>
      <c r="V514" s="6"/>
    </row>
    <row r="515" spans="3:22">
      <c r="C515" s="6"/>
      <c r="D515" s="6"/>
      <c r="E515" s="6"/>
      <c r="F515" s="6"/>
      <c r="G515" s="6"/>
      <c r="R515" s="6"/>
      <c r="S515" s="6"/>
      <c r="T515" s="6"/>
      <c r="U515" s="6"/>
      <c r="V515" s="6"/>
    </row>
    <row r="516" spans="3:22">
      <c r="C516" s="6"/>
      <c r="D516" s="6"/>
      <c r="E516" s="6"/>
      <c r="F516" s="6"/>
      <c r="G516" s="6"/>
      <c r="R516" s="6"/>
      <c r="S516" s="6"/>
      <c r="T516" s="6"/>
      <c r="U516" s="6"/>
      <c r="V516" s="6"/>
    </row>
    <row r="517" spans="3:22">
      <c r="C517" s="6"/>
      <c r="D517" s="6"/>
      <c r="E517" s="6"/>
      <c r="F517" s="6"/>
      <c r="G517" s="6"/>
      <c r="R517" s="6"/>
      <c r="S517" s="6"/>
      <c r="T517" s="6"/>
      <c r="U517" s="6"/>
      <c r="V517" s="6"/>
    </row>
  </sheetData>
  <phoneticPr fontId="1"/>
  <pageMargins left="0.7" right="0.7" top="0.75" bottom="0.75" header="0.3" footer="0.3"/>
  <pageSetup paperSize="9" orientation="portrait" horizontalDpi="300" verticalDpi="1200" r:id="rId1"/>
  <drawing r:id="rId2"/>
  <legacyDrawing r:id="rId3"/>
  <controls>
    <mc:AlternateContent xmlns:mc="http://schemas.openxmlformats.org/markup-compatibility/2006">
      <mc:Choice Requires="x14">
        <control shapeId="1520" r:id="rId4" name="CommandButton2">
          <controlPr defaultSize="0" autoLine="0" r:id="rId5">
            <anchor moveWithCells="1">
              <from>
                <xdr:col>3</xdr:col>
                <xdr:colOff>666750</xdr:colOff>
                <xdr:row>1</xdr:row>
                <xdr:rowOff>19050</xdr:rowOff>
              </from>
              <to>
                <xdr:col>5</xdr:col>
                <xdr:colOff>333375</xdr:colOff>
                <xdr:row>2</xdr:row>
                <xdr:rowOff>114300</xdr:rowOff>
              </to>
            </anchor>
          </controlPr>
        </control>
      </mc:Choice>
      <mc:Fallback>
        <control shapeId="1520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209550</xdr:colOff>
                <xdr:row>1</xdr:row>
                <xdr:rowOff>19050</xdr:rowOff>
              </from>
              <to>
                <xdr:col>3</xdr:col>
                <xdr:colOff>485775</xdr:colOff>
                <xdr:row>2</xdr:row>
                <xdr:rowOff>114300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Zheng, Wenxin</dc:creator>
  <cp:lastModifiedBy>Wenxin Zheng</cp:lastModifiedBy>
  <cp:lastPrinted>2011-03-24T06:11:54Z</cp:lastPrinted>
  <dcterms:created xsi:type="dcterms:W3CDTF">2011-02-16T08:29:11Z</dcterms:created>
  <dcterms:modified xsi:type="dcterms:W3CDTF">2014-05-20T18:19:12Z</dcterms:modified>
</cp:coreProperties>
</file>