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svegorov\Nextcloud\SPValidations\Validations\SP_Val_2\30_OQ\30_TestReports\"/>
    </mc:Choice>
  </mc:AlternateContent>
  <bookViews>
    <workbookView xWindow="360" yWindow="15" windowWidth="20955" windowHeight="9720" firstSheet="1" activeTab="1"/>
  </bookViews>
  <sheets>
    <sheet name="Настройки" sheetId="1" state="hidden" r:id="rId1"/>
    <sheet name="Переменные" sheetId="2" r:id="rId2"/>
    <sheet name="Переменные таблиц" sheetId="3" r:id="rId3"/>
    <sheet name="Табл Спецификация" sheetId="4" r:id="rId4"/>
    <sheet name="Табл Test1" sheetId="5" r:id="rId5"/>
    <sheet name="Табл Test2" sheetId="6" r:id="rId6"/>
    <sheet name="ИмпортДанных" sheetId="8" r:id="rId7"/>
    <sheet name="Справочник" sheetId="9" r:id="rId8"/>
  </sheets>
  <functionGroups builtInGroupCount="18"/>
  <definedNames>
    <definedName name="CBWorkbookPriority" hidden="1">-1751318906</definedName>
    <definedName name="ComplyTxt">Справочник!$B$5</definedName>
    <definedName name="copy_tables_to_word">Настройки!$B$12</definedName>
    <definedName name="create_pdf">Настройки!$B$9</definedName>
    <definedName name="DirtyAbsent">Справочник!$C$4</definedName>
    <definedName name="DitryExists">Справочник!$B$4</definedName>
    <definedName name="ExternalData_1" localSheetId="6" hidden="1">ИмпортДанных!$A$2:$X$50</definedName>
    <definedName name="MAES02_max">Справочник!$B$2</definedName>
    <definedName name="MAES03_max">Справочник!$B$3</definedName>
    <definedName name="merge_pdf">Настройки!$B$10</definedName>
    <definedName name="merged_pdf_filename">Настройки!$B$14</definedName>
    <definedName name="name_template">Настройки!$B$8</definedName>
    <definedName name="NonComplyTxt">Справочник!$C$5</definedName>
    <definedName name="open_dest_folder">Настройки!$B$13</definedName>
    <definedName name="pdf_merge_program">Настройки!$B$11</definedName>
    <definedName name="save_folder_path">Настройки!$B$6</definedName>
    <definedName name="save_var_on_sync">Настройки!$B$7</definedName>
    <definedName name="template_name">Настройки!$B$5</definedName>
    <definedName name="template_path">Настройки!$B$4</definedName>
    <definedName name="var_format">Настройки!$B$3</definedName>
    <definedName name="wall_th_min_02">Справочник!$B$6</definedName>
    <definedName name="wall_th_min_03">Справочник!$C$6</definedName>
    <definedName name="ИсходныеДанные">ИмпортДанных!$A$3:$AK$50</definedName>
  </definedNames>
  <calcPr calcId="162913"/>
</workbook>
</file>

<file path=xl/calcChain.xml><?xml version="1.0" encoding="utf-8"?>
<calcChain xmlns="http://schemas.openxmlformats.org/spreadsheetml/2006/main">
  <c r="A4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AH4" i="2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27" i="8"/>
  <c r="AK4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3" i="8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J10" i="2"/>
  <c r="AJ18" i="2"/>
  <c r="AJ26" i="2"/>
  <c r="AI10" i="2"/>
  <c r="AI18" i="2"/>
  <c r="AI26" i="2"/>
  <c r="AI34" i="2"/>
  <c r="AI42" i="2"/>
  <c r="AI50" i="2"/>
  <c r="AI4" i="8"/>
  <c r="AI5" i="2" s="1"/>
  <c r="AI5" i="8"/>
  <c r="AI6" i="2" s="1"/>
  <c r="AI6" i="8"/>
  <c r="AJ6" i="8" s="1"/>
  <c r="AJ7" i="2" s="1"/>
  <c r="AI7" i="8"/>
  <c r="AI8" i="2" s="1"/>
  <c r="AI8" i="8"/>
  <c r="AI9" i="2" s="1"/>
  <c r="AI9" i="8"/>
  <c r="AI10" i="8"/>
  <c r="AJ10" i="8" s="1"/>
  <c r="AJ11" i="2" s="1"/>
  <c r="AI11" i="8"/>
  <c r="AI12" i="2" s="1"/>
  <c r="AI12" i="8"/>
  <c r="AI13" i="2" s="1"/>
  <c r="AI13" i="8"/>
  <c r="AI14" i="2" s="1"/>
  <c r="AI14" i="8"/>
  <c r="AJ14" i="8" s="1"/>
  <c r="AJ15" i="2" s="1"/>
  <c r="AI15" i="8"/>
  <c r="AI16" i="2" s="1"/>
  <c r="AI16" i="8"/>
  <c r="AI17" i="2" s="1"/>
  <c r="AI17" i="8"/>
  <c r="AI18" i="8"/>
  <c r="AJ18" i="8" s="1"/>
  <c r="AJ19" i="2" s="1"/>
  <c r="AI19" i="8"/>
  <c r="AI20" i="2" s="1"/>
  <c r="AI20" i="8"/>
  <c r="AI21" i="2" s="1"/>
  <c r="AI21" i="8"/>
  <c r="AI22" i="2" s="1"/>
  <c r="AI22" i="8"/>
  <c r="AJ22" i="8" s="1"/>
  <c r="AJ23" i="2" s="1"/>
  <c r="AI23" i="8"/>
  <c r="AI24" i="2" s="1"/>
  <c r="AI24" i="8"/>
  <c r="AI25" i="2" s="1"/>
  <c r="AI25" i="8"/>
  <c r="AI26" i="8"/>
  <c r="AJ26" i="8" s="1"/>
  <c r="AJ27" i="2" s="1"/>
  <c r="AI27" i="8"/>
  <c r="AI28" i="2" s="1"/>
  <c r="AI28" i="8"/>
  <c r="AI29" i="2" s="1"/>
  <c r="AI29" i="8"/>
  <c r="AJ29" i="8" s="1"/>
  <c r="AJ30" i="2" s="1"/>
  <c r="AI30" i="8"/>
  <c r="AI31" i="2" s="1"/>
  <c r="AI31" i="8"/>
  <c r="AI32" i="2" s="1"/>
  <c r="AI32" i="8"/>
  <c r="AI33" i="2" s="1"/>
  <c r="AI33" i="8"/>
  <c r="AI34" i="8"/>
  <c r="AI35" i="2" s="1"/>
  <c r="AI35" i="8"/>
  <c r="AI36" i="2" s="1"/>
  <c r="AI36" i="8"/>
  <c r="AI37" i="2" s="1"/>
  <c r="AI37" i="8"/>
  <c r="AI38" i="2" s="1"/>
  <c r="AI38" i="8"/>
  <c r="AI39" i="2" s="1"/>
  <c r="AI39" i="8"/>
  <c r="AI40" i="2" s="1"/>
  <c r="AI40" i="8"/>
  <c r="AI41" i="2" s="1"/>
  <c r="AI41" i="8"/>
  <c r="AI42" i="8"/>
  <c r="AI43" i="2" s="1"/>
  <c r="AI43" i="8"/>
  <c r="AI44" i="2" s="1"/>
  <c r="AI44" i="8"/>
  <c r="AI45" i="2" s="1"/>
  <c r="AI45" i="8"/>
  <c r="AI46" i="2" s="1"/>
  <c r="AI46" i="8"/>
  <c r="AI47" i="2" s="1"/>
  <c r="AI47" i="8"/>
  <c r="AI48" i="2" s="1"/>
  <c r="AI48" i="8"/>
  <c r="AI49" i="2" s="1"/>
  <c r="AI49" i="8"/>
  <c r="AI50" i="8"/>
  <c r="AI51" i="2" s="1"/>
  <c r="AI3" i="8"/>
  <c r="AI4" i="2" s="1"/>
  <c r="AJ4" i="8"/>
  <c r="AJ5" i="2" s="1"/>
  <c r="AJ5" i="8"/>
  <c r="AJ6" i="2" s="1"/>
  <c r="AJ7" i="8"/>
  <c r="AJ8" i="2" s="1"/>
  <c r="AJ8" i="8"/>
  <c r="AJ9" i="2" s="1"/>
  <c r="AJ9" i="8"/>
  <c r="AJ11" i="8"/>
  <c r="AJ12" i="2" s="1"/>
  <c r="AJ12" i="8"/>
  <c r="AJ13" i="2" s="1"/>
  <c r="AJ13" i="8"/>
  <c r="AJ14" i="2" s="1"/>
  <c r="AJ15" i="8"/>
  <c r="AJ16" i="2" s="1"/>
  <c r="AJ16" i="8"/>
  <c r="AJ17" i="2" s="1"/>
  <c r="AJ17" i="8"/>
  <c r="AJ19" i="8"/>
  <c r="AJ20" i="2" s="1"/>
  <c r="AJ20" i="8"/>
  <c r="AJ21" i="2" s="1"/>
  <c r="AJ21" i="8"/>
  <c r="AJ22" i="2" s="1"/>
  <c r="AJ23" i="8"/>
  <c r="AJ24" i="2" s="1"/>
  <c r="AJ24" i="8"/>
  <c r="AJ25" i="2" s="1"/>
  <c r="AJ25" i="8"/>
  <c r="AJ27" i="8"/>
  <c r="AJ28" i="2" s="1"/>
  <c r="AJ28" i="8"/>
  <c r="AJ29" i="2" s="1"/>
  <c r="AJ31" i="8"/>
  <c r="AJ32" i="2" s="1"/>
  <c r="AJ32" i="8"/>
  <c r="AJ33" i="2" s="1"/>
  <c r="AJ33" i="8"/>
  <c r="AJ34" i="2" s="1"/>
  <c r="AJ35" i="8"/>
  <c r="AJ36" i="2" s="1"/>
  <c r="AJ36" i="8"/>
  <c r="AJ37" i="2" s="1"/>
  <c r="AJ37" i="8"/>
  <c r="AJ38" i="2" s="1"/>
  <c r="AJ39" i="8"/>
  <c r="AJ40" i="2" s="1"/>
  <c r="AJ40" i="8"/>
  <c r="AJ41" i="2" s="1"/>
  <c r="AJ41" i="8"/>
  <c r="AJ42" i="2" s="1"/>
  <c r="AJ43" i="8"/>
  <c r="AJ44" i="2" s="1"/>
  <c r="AJ44" i="8"/>
  <c r="AJ45" i="2" s="1"/>
  <c r="AJ45" i="8"/>
  <c r="AJ46" i="2" s="1"/>
  <c r="AJ47" i="8"/>
  <c r="AJ48" i="2" s="1"/>
  <c r="AJ48" i="8"/>
  <c r="AJ49" i="2" s="1"/>
  <c r="AJ49" i="8"/>
  <c r="AJ50" i="2" s="1"/>
  <c r="AJ3" i="8"/>
  <c r="AJ4" i="2" s="1"/>
  <c r="AE3" i="8"/>
  <c r="AF3" i="8"/>
  <c r="AF4" i="2"/>
  <c r="AE4" i="2"/>
  <c r="AC3" i="8"/>
  <c r="AD3" i="8" s="1"/>
  <c r="AD4" i="2" s="1"/>
  <c r="AB6" i="2"/>
  <c r="AB14" i="2"/>
  <c r="AB22" i="2"/>
  <c r="AB30" i="2"/>
  <c r="AB33" i="2"/>
  <c r="AB34" i="2"/>
  <c r="AB38" i="2"/>
  <c r="AB41" i="2"/>
  <c r="AB42" i="2"/>
  <c r="AB46" i="2"/>
  <c r="AB49" i="2"/>
  <c r="AB50" i="2"/>
  <c r="AB28" i="8"/>
  <c r="AB29" i="8"/>
  <c r="AB30" i="8"/>
  <c r="AB31" i="8"/>
  <c r="AB32" i="2" s="1"/>
  <c r="AB32" i="8"/>
  <c r="AB33" i="8"/>
  <c r="AB34" i="8"/>
  <c r="AB35" i="8"/>
  <c r="AB36" i="8"/>
  <c r="AB37" i="8"/>
  <c r="AB38" i="8"/>
  <c r="AB39" i="8"/>
  <c r="AB40" i="2" s="1"/>
  <c r="AB40" i="8"/>
  <c r="AB41" i="8"/>
  <c r="AB42" i="8"/>
  <c r="AB43" i="8"/>
  <c r="AB44" i="8"/>
  <c r="AB45" i="8"/>
  <c r="AB46" i="8"/>
  <c r="AB47" i="8"/>
  <c r="AB48" i="2" s="1"/>
  <c r="AB48" i="8"/>
  <c r="AB49" i="8"/>
  <c r="AB50" i="8"/>
  <c r="AB27" i="8"/>
  <c r="AB4" i="8"/>
  <c r="AB5" i="8"/>
  <c r="AB6" i="8"/>
  <c r="AB7" i="8"/>
  <c r="AB8" i="2" s="1"/>
  <c r="AB8" i="8"/>
  <c r="AB9" i="2" s="1"/>
  <c r="AB9" i="8"/>
  <c r="AB10" i="8"/>
  <c r="AB11" i="8"/>
  <c r="AB12" i="8"/>
  <c r="AB13" i="8"/>
  <c r="AB14" i="8"/>
  <c r="AB15" i="8"/>
  <c r="AB16" i="2" s="1"/>
  <c r="AB16" i="8"/>
  <c r="AB17" i="2" s="1"/>
  <c r="AB17" i="8"/>
  <c r="AB18" i="8"/>
  <c r="AB19" i="8"/>
  <c r="AB20" i="8"/>
  <c r="AB21" i="8"/>
  <c r="AB22" i="8"/>
  <c r="AB23" i="8"/>
  <c r="AB24" i="2" s="1"/>
  <c r="AB24" i="8"/>
  <c r="AB25" i="2" s="1"/>
  <c r="AB25" i="8"/>
  <c r="AB26" i="8"/>
  <c r="AB3" i="8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B23" i="2" l="1"/>
  <c r="AB47" i="2"/>
  <c r="AB15" i="2"/>
  <c r="AB7" i="2"/>
  <c r="AB39" i="2"/>
  <c r="AB31" i="2"/>
  <c r="AJ50" i="8"/>
  <c r="AJ51" i="2" s="1"/>
  <c r="AJ42" i="8"/>
  <c r="AJ43" i="2" s="1"/>
  <c r="AJ34" i="8"/>
  <c r="AJ35" i="2" s="1"/>
  <c r="AI27" i="2"/>
  <c r="AI19" i="2"/>
  <c r="AI11" i="2"/>
  <c r="AB45" i="2"/>
  <c r="AB37" i="2"/>
  <c r="AB29" i="2"/>
  <c r="AB21" i="2"/>
  <c r="AB13" i="2"/>
  <c r="AB5" i="2"/>
  <c r="AB44" i="2"/>
  <c r="AB36" i="2"/>
  <c r="AB28" i="2"/>
  <c r="AB20" i="2"/>
  <c r="AB12" i="2"/>
  <c r="AB4" i="2"/>
  <c r="AC4" i="2"/>
  <c r="AB51" i="2"/>
  <c r="AB43" i="2"/>
  <c r="AB35" i="2"/>
  <c r="AB27" i="2"/>
  <c r="AB19" i="2"/>
  <c r="AB11" i="2"/>
  <c r="AJ46" i="8"/>
  <c r="AJ47" i="2" s="1"/>
  <c r="AJ38" i="8"/>
  <c r="AJ39" i="2" s="1"/>
  <c r="AJ30" i="8"/>
  <c r="AJ31" i="2" s="1"/>
  <c r="AI23" i="2"/>
  <c r="AI15" i="2"/>
  <c r="AI7" i="2"/>
  <c r="AB26" i="2"/>
  <c r="AB18" i="2"/>
  <c r="AB10" i="2"/>
  <c r="AI30" i="2"/>
  <c r="AA4" i="8"/>
  <c r="Z5" i="2" s="1"/>
  <c r="AC4" i="8"/>
  <c r="AE4" i="8"/>
  <c r="AA5" i="8"/>
  <c r="Z6" i="2" s="1"/>
  <c r="AC5" i="8"/>
  <c r="AE5" i="8"/>
  <c r="AA6" i="8"/>
  <c r="Z7" i="2" s="1"/>
  <c r="AC6" i="8"/>
  <c r="AE6" i="8"/>
  <c r="AA7" i="8"/>
  <c r="Z8" i="2" s="1"/>
  <c r="AC7" i="8"/>
  <c r="AE7" i="8"/>
  <c r="AA8" i="8"/>
  <c r="Z9" i="2" s="1"/>
  <c r="AC8" i="8"/>
  <c r="AE8" i="8"/>
  <c r="AA9" i="8"/>
  <c r="Z10" i="2" s="1"/>
  <c r="AC9" i="8"/>
  <c r="AE9" i="8"/>
  <c r="AA10" i="8"/>
  <c r="Z11" i="2" s="1"/>
  <c r="AC10" i="8"/>
  <c r="AE10" i="8"/>
  <c r="AA11" i="8"/>
  <c r="Z12" i="2" s="1"/>
  <c r="AC11" i="8"/>
  <c r="AE11" i="8"/>
  <c r="AA12" i="8"/>
  <c r="Z13" i="2" s="1"/>
  <c r="AC12" i="8"/>
  <c r="AE12" i="8"/>
  <c r="AA13" i="8"/>
  <c r="Z14" i="2" s="1"/>
  <c r="AC13" i="8"/>
  <c r="AE13" i="8"/>
  <c r="AA14" i="8"/>
  <c r="Z15" i="2" s="1"/>
  <c r="AC14" i="8"/>
  <c r="AE14" i="8"/>
  <c r="AA15" i="8"/>
  <c r="Z16" i="2" s="1"/>
  <c r="AC15" i="8"/>
  <c r="AE15" i="8"/>
  <c r="AA16" i="8"/>
  <c r="Z17" i="2" s="1"/>
  <c r="AC16" i="8"/>
  <c r="AE16" i="8"/>
  <c r="AA17" i="8"/>
  <c r="Z18" i="2" s="1"/>
  <c r="AC17" i="8"/>
  <c r="AE17" i="8"/>
  <c r="AA18" i="8"/>
  <c r="Z19" i="2" s="1"/>
  <c r="AC18" i="8"/>
  <c r="AE18" i="8"/>
  <c r="AA19" i="8"/>
  <c r="Z20" i="2" s="1"/>
  <c r="AC19" i="8"/>
  <c r="AE19" i="8"/>
  <c r="AA20" i="8"/>
  <c r="Z21" i="2" s="1"/>
  <c r="AC20" i="8"/>
  <c r="AE20" i="8"/>
  <c r="AA21" i="8"/>
  <c r="Z22" i="2" s="1"/>
  <c r="AC21" i="8"/>
  <c r="AE21" i="8"/>
  <c r="AA22" i="8"/>
  <c r="Z23" i="2" s="1"/>
  <c r="AC22" i="8"/>
  <c r="AE22" i="8"/>
  <c r="AA23" i="8"/>
  <c r="Z24" i="2" s="1"/>
  <c r="AC23" i="8"/>
  <c r="AE23" i="8"/>
  <c r="AA24" i="8"/>
  <c r="Z25" i="2" s="1"/>
  <c r="AC24" i="8"/>
  <c r="AE24" i="8"/>
  <c r="AA25" i="8"/>
  <c r="Z26" i="2" s="1"/>
  <c r="AC25" i="8"/>
  <c r="AE25" i="8"/>
  <c r="AA26" i="8"/>
  <c r="Z27" i="2" s="1"/>
  <c r="AC26" i="8"/>
  <c r="AE26" i="8"/>
  <c r="AA27" i="8"/>
  <c r="Z28" i="2" s="1"/>
  <c r="AC27" i="8"/>
  <c r="AE27" i="8"/>
  <c r="AA28" i="8"/>
  <c r="Z29" i="2" s="1"/>
  <c r="AC28" i="8"/>
  <c r="AE28" i="8"/>
  <c r="AA29" i="8"/>
  <c r="Z30" i="2" s="1"/>
  <c r="AC29" i="8"/>
  <c r="AE29" i="8"/>
  <c r="AA30" i="8"/>
  <c r="Z31" i="2" s="1"/>
  <c r="AC30" i="8"/>
  <c r="AE30" i="8"/>
  <c r="AA31" i="8"/>
  <c r="Z32" i="2" s="1"/>
  <c r="AC31" i="8"/>
  <c r="AE31" i="8"/>
  <c r="AA32" i="8"/>
  <c r="Z33" i="2" s="1"/>
  <c r="AC32" i="8"/>
  <c r="AE32" i="8"/>
  <c r="AA33" i="8"/>
  <c r="Z34" i="2" s="1"/>
  <c r="AC33" i="8"/>
  <c r="AE33" i="8"/>
  <c r="AA34" i="8"/>
  <c r="Z35" i="2" s="1"/>
  <c r="AC34" i="8"/>
  <c r="AE34" i="8"/>
  <c r="AA35" i="8"/>
  <c r="Z36" i="2" s="1"/>
  <c r="AC35" i="8"/>
  <c r="AE35" i="8"/>
  <c r="AA36" i="8"/>
  <c r="Z37" i="2" s="1"/>
  <c r="AC36" i="8"/>
  <c r="AE36" i="8"/>
  <c r="AA37" i="8"/>
  <c r="Z38" i="2" s="1"/>
  <c r="AC37" i="8"/>
  <c r="AE37" i="8"/>
  <c r="AA38" i="8"/>
  <c r="Z39" i="2" s="1"/>
  <c r="AC38" i="8"/>
  <c r="AE38" i="8"/>
  <c r="AA39" i="8"/>
  <c r="Z40" i="2" s="1"/>
  <c r="AC39" i="8"/>
  <c r="AE39" i="8"/>
  <c r="AA40" i="8"/>
  <c r="Z41" i="2" s="1"/>
  <c r="AC40" i="8"/>
  <c r="AE40" i="8"/>
  <c r="AA41" i="8"/>
  <c r="Z42" i="2" s="1"/>
  <c r="AC41" i="8"/>
  <c r="AE41" i="8"/>
  <c r="AA42" i="8"/>
  <c r="Z43" i="2" s="1"/>
  <c r="AC42" i="8"/>
  <c r="AE42" i="8"/>
  <c r="AA43" i="8"/>
  <c r="Z44" i="2" s="1"/>
  <c r="AC43" i="8"/>
  <c r="AE43" i="8"/>
  <c r="AA44" i="8"/>
  <c r="Z45" i="2" s="1"/>
  <c r="AC44" i="8"/>
  <c r="AE44" i="8"/>
  <c r="AA45" i="8"/>
  <c r="Z46" i="2" s="1"/>
  <c r="AC45" i="8"/>
  <c r="AE45" i="8"/>
  <c r="AA46" i="8"/>
  <c r="Z47" i="2" s="1"/>
  <c r="AC46" i="8"/>
  <c r="AE46" i="8"/>
  <c r="AA47" i="8"/>
  <c r="Z48" i="2" s="1"/>
  <c r="AC47" i="8"/>
  <c r="AE47" i="8"/>
  <c r="AA48" i="8"/>
  <c r="Z49" i="2" s="1"/>
  <c r="AC48" i="8"/>
  <c r="AE48" i="8"/>
  <c r="AA49" i="8"/>
  <c r="Z50" i="2" s="1"/>
  <c r="AC49" i="8"/>
  <c r="AE49" i="8"/>
  <c r="AA50" i="8"/>
  <c r="Z51" i="2" s="1"/>
  <c r="AC50" i="8"/>
  <c r="AE50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3" i="8"/>
  <c r="AA3" i="8"/>
  <c r="Z4" i="2" s="1"/>
  <c r="AK37" i="2" l="1"/>
  <c r="AH36" i="8"/>
  <c r="AL37" i="2" s="1"/>
  <c r="AK29" i="2"/>
  <c r="AH28" i="8"/>
  <c r="AL29" i="2" s="1"/>
  <c r="AK21" i="2"/>
  <c r="AH20" i="8"/>
  <c r="AL21" i="2" s="1"/>
  <c r="AK13" i="2"/>
  <c r="AH12" i="8"/>
  <c r="AL13" i="2" s="1"/>
  <c r="AK5" i="2"/>
  <c r="AH4" i="8"/>
  <c r="AL5" i="2" s="1"/>
  <c r="AD48" i="8"/>
  <c r="AD49" i="2" s="1"/>
  <c r="AC49" i="2"/>
  <c r="AF45" i="8"/>
  <c r="AF46" i="2" s="1"/>
  <c r="AE46" i="2"/>
  <c r="AD40" i="8"/>
  <c r="AD41" i="2" s="1"/>
  <c r="AC41" i="2"/>
  <c r="AF37" i="8"/>
  <c r="AF38" i="2" s="1"/>
  <c r="AE38" i="2"/>
  <c r="AD32" i="8"/>
  <c r="AD33" i="2" s="1"/>
  <c r="AC33" i="2"/>
  <c r="AF29" i="8"/>
  <c r="AF30" i="2" s="1"/>
  <c r="AE30" i="2"/>
  <c r="AD24" i="8"/>
  <c r="AD25" i="2" s="1"/>
  <c r="AC25" i="2"/>
  <c r="AF21" i="8"/>
  <c r="AF22" i="2" s="1"/>
  <c r="AE22" i="2"/>
  <c r="AC17" i="2"/>
  <c r="AD16" i="8"/>
  <c r="AD17" i="2" s="1"/>
  <c r="AF13" i="8"/>
  <c r="AF14" i="2" s="1"/>
  <c r="AE14" i="2"/>
  <c r="AC9" i="2"/>
  <c r="AD8" i="8"/>
  <c r="AD9" i="2" s="1"/>
  <c r="AF5" i="8"/>
  <c r="AF6" i="2" s="1"/>
  <c r="AE6" i="2"/>
  <c r="AK44" i="2"/>
  <c r="AH43" i="8"/>
  <c r="AL44" i="2" s="1"/>
  <c r="AK12" i="2"/>
  <c r="AH11" i="8"/>
  <c r="AL12" i="2" s="1"/>
  <c r="AF50" i="8"/>
  <c r="AF51" i="2" s="1"/>
  <c r="AE51" i="2"/>
  <c r="AD45" i="8"/>
  <c r="AD46" i="2" s="1"/>
  <c r="AC46" i="2"/>
  <c r="AD37" i="8"/>
  <c r="AD38" i="2" s="1"/>
  <c r="AC38" i="2"/>
  <c r="AD29" i="8"/>
  <c r="AD30" i="2" s="1"/>
  <c r="AC30" i="2"/>
  <c r="AD13" i="8"/>
  <c r="AD14" i="2" s="1"/>
  <c r="AC14" i="2"/>
  <c r="AH50" i="8"/>
  <c r="AL51" i="2" s="1"/>
  <c r="AK51" i="2"/>
  <c r="AH42" i="8"/>
  <c r="AL43" i="2" s="1"/>
  <c r="AK43" i="2"/>
  <c r="AH34" i="8"/>
  <c r="AL35" i="2" s="1"/>
  <c r="AK35" i="2"/>
  <c r="AH26" i="8"/>
  <c r="AL27" i="2" s="1"/>
  <c r="AK27" i="2"/>
  <c r="AH18" i="8"/>
  <c r="AL19" i="2" s="1"/>
  <c r="AK19" i="2"/>
  <c r="AH10" i="8"/>
  <c r="AL11" i="2" s="1"/>
  <c r="AK11" i="2"/>
  <c r="AD50" i="8"/>
  <c r="AD51" i="2" s="1"/>
  <c r="AC51" i="2"/>
  <c r="AE48" i="2"/>
  <c r="AF47" i="8"/>
  <c r="AF48" i="2" s="1"/>
  <c r="AD42" i="8"/>
  <c r="AD43" i="2" s="1"/>
  <c r="AC43" i="2"/>
  <c r="AE40" i="2"/>
  <c r="AF39" i="8"/>
  <c r="AF40" i="2" s="1"/>
  <c r="AD34" i="8"/>
  <c r="AD35" i="2" s="1"/>
  <c r="AC35" i="2"/>
  <c r="AE32" i="2"/>
  <c r="AF31" i="8"/>
  <c r="AF32" i="2" s="1"/>
  <c r="AD26" i="8"/>
  <c r="AD27" i="2" s="1"/>
  <c r="AC27" i="2"/>
  <c r="AE24" i="2"/>
  <c r="AF23" i="8"/>
  <c r="AF24" i="2" s="1"/>
  <c r="AD18" i="8"/>
  <c r="AD19" i="2" s="1"/>
  <c r="AC19" i="2"/>
  <c r="AE16" i="2"/>
  <c r="AF15" i="8"/>
  <c r="AF16" i="2" s="1"/>
  <c r="AD10" i="8"/>
  <c r="AD11" i="2" s="1"/>
  <c r="AC11" i="2"/>
  <c r="AE8" i="2"/>
  <c r="AF7" i="8"/>
  <c r="AF8" i="2" s="1"/>
  <c r="AD5" i="8"/>
  <c r="AD6" i="2" s="1"/>
  <c r="AC6" i="2"/>
  <c r="AK50" i="2"/>
  <c r="AH49" i="8"/>
  <c r="AL50" i="2" s="1"/>
  <c r="AK42" i="2"/>
  <c r="AH41" i="8"/>
  <c r="AL42" i="2" s="1"/>
  <c r="AK34" i="2"/>
  <c r="AH33" i="8"/>
  <c r="AL34" i="2" s="1"/>
  <c r="AH25" i="8"/>
  <c r="AL26" i="2" s="1"/>
  <c r="AK26" i="2"/>
  <c r="AK18" i="2"/>
  <c r="AH17" i="8"/>
  <c r="AL18" i="2" s="1"/>
  <c r="AK10" i="2"/>
  <c r="AH9" i="8"/>
  <c r="AL10" i="2" s="1"/>
  <c r="AC48" i="2"/>
  <c r="AD47" i="8"/>
  <c r="AD48" i="2" s="1"/>
  <c r="AF44" i="8"/>
  <c r="AF45" i="2" s="1"/>
  <c r="AE45" i="2"/>
  <c r="AC40" i="2"/>
  <c r="AD39" i="8"/>
  <c r="AD40" i="2" s="1"/>
  <c r="AF36" i="8"/>
  <c r="AF37" i="2" s="1"/>
  <c r="AE37" i="2"/>
  <c r="AC32" i="2"/>
  <c r="AD31" i="8"/>
  <c r="AD32" i="2" s="1"/>
  <c r="AF28" i="8"/>
  <c r="AF29" i="2" s="1"/>
  <c r="AE29" i="2"/>
  <c r="AC24" i="2"/>
  <c r="AD23" i="8"/>
  <c r="AD24" i="2" s="1"/>
  <c r="AF20" i="8"/>
  <c r="AF21" i="2" s="1"/>
  <c r="AE21" i="2"/>
  <c r="AC16" i="2"/>
  <c r="AD15" i="8"/>
  <c r="AD16" i="2" s="1"/>
  <c r="AF12" i="8"/>
  <c r="AF13" i="2" s="1"/>
  <c r="AE13" i="2"/>
  <c r="AC8" i="2"/>
  <c r="AD7" i="8"/>
  <c r="AD8" i="2" s="1"/>
  <c r="AF4" i="8"/>
  <c r="AF5" i="2" s="1"/>
  <c r="AE5" i="2"/>
  <c r="AK4" i="2"/>
  <c r="AH3" i="8"/>
  <c r="AL4" i="2" s="1"/>
  <c r="AK20" i="2"/>
  <c r="AH19" i="8"/>
  <c r="AL20" i="2" s="1"/>
  <c r="AF42" i="8"/>
  <c r="AF43" i="2" s="1"/>
  <c r="AE43" i="2"/>
  <c r="AK49" i="2"/>
  <c r="AH48" i="8"/>
  <c r="AL49" i="2" s="1"/>
  <c r="AK41" i="2"/>
  <c r="AH40" i="8"/>
  <c r="AL41" i="2" s="1"/>
  <c r="AH32" i="8"/>
  <c r="AL33" i="2" s="1"/>
  <c r="AK33" i="2"/>
  <c r="AK25" i="2"/>
  <c r="AH24" i="8"/>
  <c r="AL25" i="2" s="1"/>
  <c r="AH16" i="8"/>
  <c r="AL17" i="2" s="1"/>
  <c r="AK17" i="2"/>
  <c r="AK9" i="2"/>
  <c r="AH8" i="8"/>
  <c r="AL9" i="2" s="1"/>
  <c r="AF49" i="8"/>
  <c r="AF50" i="2" s="1"/>
  <c r="AE50" i="2"/>
  <c r="AD44" i="8"/>
  <c r="AD45" i="2" s="1"/>
  <c r="AC45" i="2"/>
  <c r="AF41" i="8"/>
  <c r="AF42" i="2" s="1"/>
  <c r="AE42" i="2"/>
  <c r="AD36" i="8"/>
  <c r="AD37" i="2" s="1"/>
  <c r="AC37" i="2"/>
  <c r="AF33" i="8"/>
  <c r="AF34" i="2" s="1"/>
  <c r="AE34" i="2"/>
  <c r="AD28" i="8"/>
  <c r="AD29" i="2" s="1"/>
  <c r="AC29" i="2"/>
  <c r="AF25" i="8"/>
  <c r="AF26" i="2" s="1"/>
  <c r="AE26" i="2"/>
  <c r="AD20" i="8"/>
  <c r="AD21" i="2" s="1"/>
  <c r="AC21" i="2"/>
  <c r="AE18" i="2"/>
  <c r="AF17" i="8"/>
  <c r="AF18" i="2" s="1"/>
  <c r="AD12" i="8"/>
  <c r="AD13" i="2" s="1"/>
  <c r="AC13" i="2"/>
  <c r="AE10" i="2"/>
  <c r="AF9" i="8"/>
  <c r="AF10" i="2" s="1"/>
  <c r="AD4" i="8"/>
  <c r="AD5" i="2" s="1"/>
  <c r="AC5" i="2"/>
  <c r="AF34" i="8"/>
  <c r="AF35" i="2" s="1"/>
  <c r="AE35" i="2"/>
  <c r="AF26" i="8"/>
  <c r="AF27" i="2" s="1"/>
  <c r="AE27" i="2"/>
  <c r="AF18" i="8"/>
  <c r="AF19" i="2" s="1"/>
  <c r="AE19" i="2"/>
  <c r="AK48" i="2"/>
  <c r="AH47" i="8"/>
  <c r="AL48" i="2" s="1"/>
  <c r="AK40" i="2"/>
  <c r="AH39" i="8"/>
  <c r="AL40" i="2" s="1"/>
  <c r="AK32" i="2"/>
  <c r="AH31" i="8"/>
  <c r="AL32" i="2" s="1"/>
  <c r="AK24" i="2"/>
  <c r="AH23" i="8"/>
  <c r="AL24" i="2" s="1"/>
  <c r="AK16" i="2"/>
  <c r="AH15" i="8"/>
  <c r="AL16" i="2" s="1"/>
  <c r="AK8" i="2"/>
  <c r="AH7" i="8"/>
  <c r="AL8" i="2" s="1"/>
  <c r="AD49" i="8"/>
  <c r="AD50" i="2" s="1"/>
  <c r="AC50" i="2"/>
  <c r="AF46" i="8"/>
  <c r="AF47" i="2" s="1"/>
  <c r="AE47" i="2"/>
  <c r="AD41" i="8"/>
  <c r="AD42" i="2" s="1"/>
  <c r="AC42" i="2"/>
  <c r="AF38" i="8"/>
  <c r="AF39" i="2" s="1"/>
  <c r="AE39" i="2"/>
  <c r="AD33" i="8"/>
  <c r="AD34" i="2" s="1"/>
  <c r="AC34" i="2"/>
  <c r="AF30" i="8"/>
  <c r="AF31" i="2" s="1"/>
  <c r="AE31" i="2"/>
  <c r="AD25" i="8"/>
  <c r="AD26" i="2" s="1"/>
  <c r="AC26" i="2"/>
  <c r="AF22" i="8"/>
  <c r="AF23" i="2" s="1"/>
  <c r="AE23" i="2"/>
  <c r="AC18" i="2"/>
  <c r="AD17" i="8"/>
  <c r="AD18" i="2" s="1"/>
  <c r="AF14" i="8"/>
  <c r="AF15" i="2" s="1"/>
  <c r="AE15" i="2"/>
  <c r="AC10" i="2"/>
  <c r="AD9" i="8"/>
  <c r="AD10" i="2" s="1"/>
  <c r="AF6" i="8"/>
  <c r="AF7" i="2" s="1"/>
  <c r="AE7" i="2"/>
  <c r="AK36" i="2"/>
  <c r="AH35" i="8"/>
  <c r="AL36" i="2" s="1"/>
  <c r="AD21" i="8"/>
  <c r="AD22" i="2" s="1"/>
  <c r="AC22" i="2"/>
  <c r="AK47" i="2"/>
  <c r="AH46" i="8"/>
  <c r="AL47" i="2" s="1"/>
  <c r="AK39" i="2"/>
  <c r="AH38" i="8"/>
  <c r="AL39" i="2" s="1"/>
  <c r="AK31" i="2"/>
  <c r="AH30" i="8"/>
  <c r="AL31" i="2" s="1"/>
  <c r="AK23" i="2"/>
  <c r="AH22" i="8"/>
  <c r="AL23" i="2" s="1"/>
  <c r="AK15" i="2"/>
  <c r="AH14" i="8"/>
  <c r="AL15" i="2" s="1"/>
  <c r="AK7" i="2"/>
  <c r="AH6" i="8"/>
  <c r="AL7" i="2" s="1"/>
  <c r="AC47" i="2"/>
  <c r="AD46" i="8"/>
  <c r="AD47" i="2" s="1"/>
  <c r="AF43" i="8"/>
  <c r="AF44" i="2" s="1"/>
  <c r="AE44" i="2"/>
  <c r="AC39" i="2"/>
  <c r="AD38" i="8"/>
  <c r="AD39" i="2" s="1"/>
  <c r="AF35" i="8"/>
  <c r="AF36" i="2" s="1"/>
  <c r="AE36" i="2"/>
  <c r="AC31" i="2"/>
  <c r="AD30" i="8"/>
  <c r="AD31" i="2" s="1"/>
  <c r="AF27" i="8"/>
  <c r="AF28" i="2" s="1"/>
  <c r="AE28" i="2"/>
  <c r="AC23" i="2"/>
  <c r="AD22" i="8"/>
  <c r="AD23" i="2" s="1"/>
  <c r="AF19" i="8"/>
  <c r="AF20" i="2" s="1"/>
  <c r="AE20" i="2"/>
  <c r="AD14" i="8"/>
  <c r="AD15" i="2" s="1"/>
  <c r="AC15" i="2"/>
  <c r="AF11" i="8"/>
  <c r="AF12" i="2" s="1"/>
  <c r="AE12" i="2"/>
  <c r="AD6" i="8"/>
  <c r="AD7" i="2" s="1"/>
  <c r="AC7" i="2"/>
  <c r="AK45" i="2"/>
  <c r="AH44" i="8"/>
  <c r="AL45" i="2" s="1"/>
  <c r="AK28" i="2"/>
  <c r="AH27" i="8"/>
  <c r="AL28" i="2" s="1"/>
  <c r="AF10" i="8"/>
  <c r="AF11" i="2" s="1"/>
  <c r="AE11" i="2"/>
  <c r="AK46" i="2"/>
  <c r="AH45" i="8"/>
  <c r="AL46" i="2" s="1"/>
  <c r="AK38" i="2"/>
  <c r="AH37" i="8"/>
  <c r="AL38" i="2" s="1"/>
  <c r="AK30" i="2"/>
  <c r="AH29" i="8"/>
  <c r="AL30" i="2" s="1"/>
  <c r="AK22" i="2"/>
  <c r="AH21" i="8"/>
  <c r="AL22" i="2" s="1"/>
  <c r="AK14" i="2"/>
  <c r="AH13" i="8"/>
  <c r="AL14" i="2" s="1"/>
  <c r="AK6" i="2"/>
  <c r="AH5" i="8"/>
  <c r="AL6" i="2" s="1"/>
  <c r="AE49" i="2"/>
  <c r="AF48" i="8"/>
  <c r="AF49" i="2" s="1"/>
  <c r="AD43" i="8"/>
  <c r="AD44" i="2" s="1"/>
  <c r="AC44" i="2"/>
  <c r="AE41" i="2"/>
  <c r="AF40" i="8"/>
  <c r="AF41" i="2" s="1"/>
  <c r="AD35" i="8"/>
  <c r="AD36" i="2" s="1"/>
  <c r="AC36" i="2"/>
  <c r="AE33" i="2"/>
  <c r="AF32" i="8"/>
  <c r="AF33" i="2" s="1"/>
  <c r="AD27" i="8"/>
  <c r="AD28" i="2" s="1"/>
  <c r="AC28" i="2"/>
  <c r="AE25" i="2"/>
  <c r="AF24" i="8"/>
  <c r="AF25" i="2" s="1"/>
  <c r="AD19" i="8"/>
  <c r="AD20" i="2" s="1"/>
  <c r="AC20" i="2"/>
  <c r="AE17" i="2"/>
  <c r="AF16" i="8"/>
  <c r="AF17" i="2" s="1"/>
  <c r="AD11" i="8"/>
  <c r="AD12" i="2" s="1"/>
  <c r="AC12" i="2"/>
  <c r="AE9" i="2"/>
  <c r="AF8" i="8"/>
  <c r="AF9" i="2" s="1"/>
  <c r="F50" i="4" l="1"/>
  <c r="E50" i="4"/>
  <c r="D50" i="4"/>
  <c r="C50" i="4"/>
  <c r="B50" i="4"/>
  <c r="F49" i="4"/>
  <c r="E49" i="4"/>
  <c r="D49" i="4"/>
  <c r="C49" i="4"/>
  <c r="B49" i="4"/>
  <c r="F48" i="4"/>
  <c r="E48" i="4"/>
  <c r="D48" i="4"/>
  <c r="C48" i="4"/>
  <c r="B48" i="4"/>
  <c r="F47" i="4"/>
  <c r="E47" i="4"/>
  <c r="D47" i="4"/>
  <c r="C47" i="4"/>
  <c r="B47" i="4"/>
  <c r="F46" i="4"/>
  <c r="E46" i="4"/>
  <c r="D46" i="4"/>
  <c r="C46" i="4"/>
  <c r="B46" i="4"/>
  <c r="F45" i="4"/>
  <c r="E45" i="4"/>
  <c r="D45" i="4"/>
  <c r="C45" i="4"/>
  <c r="B45" i="4"/>
  <c r="F44" i="4"/>
  <c r="E44" i="4"/>
  <c r="D44" i="4"/>
  <c r="C44" i="4"/>
  <c r="B44" i="4"/>
  <c r="F43" i="4"/>
  <c r="E43" i="4"/>
  <c r="D43" i="4"/>
  <c r="C43" i="4"/>
  <c r="B43" i="4"/>
  <c r="F42" i="4"/>
  <c r="E42" i="4"/>
  <c r="D42" i="4"/>
  <c r="C42" i="4"/>
  <c r="B42" i="4"/>
  <c r="F41" i="4"/>
  <c r="E41" i="4"/>
  <c r="D41" i="4"/>
  <c r="C41" i="4"/>
  <c r="B41" i="4"/>
  <c r="F40" i="4"/>
  <c r="E40" i="4"/>
  <c r="D40" i="4"/>
  <c r="C40" i="4"/>
  <c r="B40" i="4"/>
  <c r="F39" i="4"/>
  <c r="E39" i="4"/>
  <c r="D39" i="4"/>
  <c r="C39" i="4"/>
  <c r="B39" i="4"/>
  <c r="F38" i="4"/>
  <c r="E38" i="4"/>
  <c r="D38" i="4"/>
  <c r="C38" i="4"/>
  <c r="B38" i="4"/>
  <c r="F37" i="4"/>
  <c r="E37" i="4"/>
  <c r="D37" i="4"/>
  <c r="C37" i="4"/>
  <c r="B37" i="4"/>
  <c r="F36" i="4"/>
  <c r="E36" i="4"/>
  <c r="D36" i="4"/>
  <c r="C36" i="4"/>
  <c r="B36" i="4"/>
  <c r="F35" i="4"/>
  <c r="E35" i="4"/>
  <c r="D35" i="4"/>
  <c r="C35" i="4"/>
  <c r="B35" i="4"/>
  <c r="F34" i="4"/>
  <c r="E34" i="4"/>
  <c r="D34" i="4"/>
  <c r="C34" i="4"/>
  <c r="B34" i="4"/>
  <c r="F33" i="4"/>
  <c r="E33" i="4"/>
  <c r="D33" i="4"/>
  <c r="C33" i="4"/>
  <c r="B33" i="4"/>
  <c r="F32" i="4"/>
  <c r="E32" i="4"/>
  <c r="D32" i="4"/>
  <c r="C32" i="4"/>
  <c r="B32" i="4"/>
  <c r="F31" i="4"/>
  <c r="E31" i="4"/>
  <c r="D31" i="4"/>
  <c r="C31" i="4"/>
  <c r="B31" i="4"/>
  <c r="F30" i="4"/>
  <c r="E30" i="4"/>
  <c r="D30" i="4"/>
  <c r="C30" i="4"/>
  <c r="B30" i="4"/>
  <c r="F29" i="4"/>
  <c r="E29" i="4"/>
  <c r="D29" i="4"/>
  <c r="C29" i="4"/>
  <c r="B29" i="4"/>
  <c r="F28" i="4"/>
  <c r="E28" i="4"/>
  <c r="D28" i="4"/>
  <c r="C28" i="4"/>
  <c r="B28" i="4"/>
  <c r="F27" i="4"/>
  <c r="E27" i="4"/>
  <c r="D27" i="4"/>
  <c r="C27" i="4"/>
  <c r="B27" i="4"/>
  <c r="F26" i="4"/>
  <c r="E26" i="4"/>
  <c r="D26" i="4"/>
  <c r="C26" i="4"/>
  <c r="B26" i="4"/>
  <c r="F25" i="4"/>
  <c r="E25" i="4"/>
  <c r="D25" i="4"/>
  <c r="C25" i="4"/>
  <c r="B25" i="4"/>
  <c r="F24" i="4"/>
  <c r="E24" i="4"/>
  <c r="D24" i="4"/>
  <c r="C24" i="4"/>
  <c r="B24" i="4"/>
  <c r="F23" i="4"/>
  <c r="E23" i="4"/>
  <c r="D23" i="4"/>
  <c r="C23" i="4"/>
  <c r="B23" i="4"/>
  <c r="F22" i="4"/>
  <c r="E22" i="4"/>
  <c r="D22" i="4"/>
  <c r="C22" i="4"/>
  <c r="B22" i="4"/>
  <c r="F21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F17" i="4"/>
  <c r="E17" i="4"/>
  <c r="D17" i="4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A6" i="3" a="1"/>
  <c r="A6" i="3" s="1"/>
  <c r="A5" i="3" a="1"/>
  <c r="A5" i="3" s="1"/>
  <c r="A4" i="3" a="1"/>
  <c r="A4" i="3" s="1"/>
  <c r="F51" i="2"/>
  <c r="E51" i="2"/>
  <c r="D51" i="2"/>
  <c r="C51" i="2"/>
  <c r="B51" i="2"/>
  <c r="F50" i="2"/>
  <c r="E50" i="2"/>
  <c r="D50" i="2"/>
  <c r="C50" i="2"/>
  <c r="B50" i="2"/>
  <c r="F49" i="2"/>
  <c r="E49" i="2"/>
  <c r="D49" i="2"/>
  <c r="C49" i="2"/>
  <c r="B49" i="2"/>
  <c r="F48" i="2"/>
  <c r="E48" i="2"/>
  <c r="D48" i="2"/>
  <c r="C48" i="2"/>
  <c r="B48" i="2"/>
  <c r="F47" i="2"/>
  <c r="E47" i="2"/>
  <c r="D47" i="2"/>
  <c r="C47" i="2"/>
  <c r="B47" i="2"/>
  <c r="F46" i="2"/>
  <c r="E46" i="2"/>
  <c r="D46" i="2"/>
  <c r="C46" i="2"/>
  <c r="B46" i="2"/>
  <c r="F45" i="2"/>
  <c r="E45" i="2"/>
  <c r="D45" i="2"/>
  <c r="C45" i="2"/>
  <c r="B45" i="2"/>
  <c r="F44" i="2"/>
  <c r="E44" i="2"/>
  <c r="D44" i="2"/>
  <c r="C44" i="2"/>
  <c r="B44" i="2"/>
  <c r="F43" i="2"/>
  <c r="E43" i="2"/>
  <c r="D43" i="2"/>
  <c r="C43" i="2"/>
  <c r="B43" i="2"/>
  <c r="F42" i="2"/>
  <c r="E42" i="2"/>
  <c r="D42" i="2"/>
  <c r="C42" i="2"/>
  <c r="B42" i="2"/>
  <c r="F41" i="2"/>
  <c r="E41" i="2"/>
  <c r="D41" i="2"/>
  <c r="C41" i="2"/>
  <c r="B41" i="2"/>
  <c r="F40" i="2"/>
  <c r="E40" i="2"/>
  <c r="D40" i="2"/>
  <c r="C40" i="2"/>
  <c r="B40" i="2"/>
  <c r="F39" i="2"/>
  <c r="E39" i="2"/>
  <c r="D39" i="2"/>
  <c r="C39" i="2"/>
  <c r="B39" i="2"/>
  <c r="F38" i="2"/>
  <c r="E38" i="2"/>
  <c r="D38" i="2"/>
  <c r="C38" i="2"/>
  <c r="B38" i="2"/>
  <c r="F37" i="2"/>
  <c r="E37" i="2"/>
  <c r="D37" i="2"/>
  <c r="C37" i="2"/>
  <c r="B37" i="2"/>
  <c r="F36" i="2"/>
  <c r="E36" i="2"/>
  <c r="D36" i="2"/>
  <c r="C36" i="2"/>
  <c r="B36" i="2"/>
  <c r="F35" i="2"/>
  <c r="E35" i="2"/>
  <c r="D35" i="2"/>
  <c r="C35" i="2"/>
  <c r="B35" i="2"/>
  <c r="F34" i="2"/>
  <c r="E34" i="2"/>
  <c r="D34" i="2"/>
  <c r="C34" i="2"/>
  <c r="B34" i="2"/>
  <c r="F33" i="2"/>
  <c r="E33" i="2"/>
  <c r="D33" i="2"/>
  <c r="C33" i="2"/>
  <c r="B33" i="2"/>
  <c r="F32" i="2"/>
  <c r="E32" i="2"/>
  <c r="D32" i="2"/>
  <c r="C32" i="2"/>
  <c r="B32" i="2"/>
  <c r="F31" i="2"/>
  <c r="E31" i="2"/>
  <c r="D31" i="2"/>
  <c r="C31" i="2"/>
  <c r="B31" i="2"/>
  <c r="F30" i="2"/>
  <c r="E30" i="2"/>
  <c r="D30" i="2"/>
  <c r="C30" i="2"/>
  <c r="B30" i="2"/>
  <c r="F29" i="2"/>
  <c r="E29" i="2"/>
  <c r="D29" i="2"/>
  <c r="C29" i="2"/>
  <c r="B29" i="2"/>
  <c r="F28" i="2"/>
  <c r="E28" i="2"/>
  <c r="D28" i="2"/>
  <c r="C28" i="2"/>
  <c r="B28" i="2"/>
  <c r="F27" i="2"/>
  <c r="E27" i="2"/>
  <c r="D27" i="2"/>
  <c r="C27" i="2"/>
  <c r="B27" i="2"/>
  <c r="F26" i="2"/>
  <c r="E26" i="2"/>
  <c r="D26" i="2"/>
  <c r="C26" i="2"/>
  <c r="B26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D20" i="2"/>
  <c r="C20" i="2"/>
  <c r="B20" i="2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F9" i="2"/>
  <c r="E9" i="2"/>
  <c r="D9" i="2"/>
  <c r="C9" i="2"/>
  <c r="B9" i="2"/>
  <c r="F8" i="2"/>
  <c r="E8" i="2"/>
  <c r="D8" i="2"/>
  <c r="C8" i="2"/>
  <c r="B8" i="2"/>
  <c r="F7" i="2"/>
  <c r="E7" i="2"/>
  <c r="D7" i="2"/>
  <c r="C7" i="2"/>
  <c r="B7" i="2"/>
  <c r="F6" i="2"/>
  <c r="E6" i="2"/>
  <c r="D6" i="2"/>
  <c r="C6" i="2"/>
  <c r="B6" i="2"/>
  <c r="F5" i="2"/>
  <c r="E5" i="2"/>
  <c r="D5" i="2"/>
  <c r="C5" i="2"/>
  <c r="B5" i="2"/>
  <c r="F4" i="2"/>
  <c r="E4" i="2"/>
  <c r="D4" i="2"/>
  <c r="C4" i="2"/>
  <c r="B4" i="2"/>
</calcChain>
</file>

<file path=xl/comments1.xml><?xml version="1.0" encoding="utf-8"?>
<comments xmlns="http://schemas.openxmlformats.org/spreadsheetml/2006/main">
  <authors>
    <author>tc={00020033-00B6-48AC-8BD7-00E3008500B7}</author>
  </authors>
  <commentList>
    <comment ref="B3" authorId="0" shapeId="0">
      <text>
        <r>
          <rPr>
            <b/>
            <sz val="9"/>
            <rFont val="Tahoma"/>
            <family val="2"/>
            <charset val="204"/>
          </rPr>
          <t>Dmitry Roadsleadme:</t>
        </r>
        <r>
          <rPr>
            <sz val="9"/>
            <rFont val="Tahoma"/>
            <family val="2"/>
            <charset val="204"/>
          </rPr>
          <t xml:space="preserve">
Для того, чтобы исключить файл из экспорта, стереть из ячейки "да"
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inalMelting" description="Соединение с запросом &quot;FinalMelting&quot; в книге." type="5" refreshedVersion="6" background="1" saveData="1">
    <dbPr connection="Provider=Microsoft.Mashup.OleDb.1;Data Source=$Workbook$;Location=FinalMelting;Extended Properties=&quot;&quot;" command="SELECT * FROM [FinalMelting]"/>
  </connection>
</connections>
</file>

<file path=xl/sharedStrings.xml><?xml version="1.0" encoding="utf-8"?>
<sst xmlns="http://schemas.openxmlformats.org/spreadsheetml/2006/main" count="997" uniqueCount="371">
  <si>
    <t>Настройки программы</t>
  </si>
  <si>
    <t>Формат имени переменных в шаблоне</t>
  </si>
  <si>
    <t>&lt;имя&gt;</t>
  </si>
  <si>
    <t>Путь к шаблону</t>
  </si>
  <si>
    <t>Val_2 OQ Test Report template.docx</t>
  </si>
  <si>
    <t>*Имя шаблона*</t>
  </si>
  <si>
    <t>Val_2 OQ Test Report template</t>
  </si>
  <si>
    <t>Путь к папке сохранения</t>
  </si>
  <si>
    <t>Результаты тестирования образцов</t>
  </si>
  <si>
    <t>Сохранить значения при синхронизации</t>
  </si>
  <si>
    <t>совпадающие</t>
  </si>
  <si>
    <t>Шаблон имени заполненных файлов</t>
  </si>
  <si>
    <t>*ID*</t>
  </si>
  <si>
    <t>Создать pdf файлы из заполненных документов</t>
  </si>
  <si>
    <t>Объединить pdf файлы в один файл</t>
  </si>
  <si>
    <t>Программа для слияния pdf</t>
  </si>
  <si>
    <t>PDFCreator</t>
  </si>
  <si>
    <t>Копировать таблицы в Word</t>
  </si>
  <si>
    <t>Открыть папку после создания файлов</t>
  </si>
  <si>
    <t>спрашивать</t>
  </si>
  <si>
    <t>Имя объединённого pdf-файла</t>
  </si>
  <si>
    <t>Объединённый файл</t>
  </si>
  <si>
    <t>Переменные</t>
  </si>
  <si>
    <t>*Экспортировать*</t>
  </si>
  <si>
    <t>*Сегодня*</t>
  </si>
  <si>
    <t>*Сегодня2*</t>
  </si>
  <si>
    <t>*Спецсимволы*</t>
  </si>
  <si>
    <t>TestReportID</t>
  </si>
  <si>
    <t>Place</t>
  </si>
  <si>
    <t>Date</t>
  </si>
  <si>
    <t>Temperature</t>
  </si>
  <si>
    <t>Humidity</t>
  </si>
  <si>
    <t>Eq_1_id</t>
  </si>
  <si>
    <t>Eq_1_model</t>
  </si>
  <si>
    <t>Eq_2_id</t>
  </si>
  <si>
    <t>Eq_2_model</t>
  </si>
  <si>
    <t xml:space="preserve"> LP_val</t>
  </si>
  <si>
    <t>LT_S_val</t>
  </si>
  <si>
    <t>LT_F_val</t>
  </si>
  <si>
    <t>RS_val</t>
  </si>
  <si>
    <t>OR_S_val</t>
  </si>
  <si>
    <t>OR_F_val</t>
  </si>
  <si>
    <t>DUT type</t>
  </si>
  <si>
    <t>DUT id</t>
  </si>
  <si>
    <t>DUT_SampleParamReportID</t>
  </si>
  <si>
    <t>ProcessTime_val</t>
  </si>
  <si>
    <t>ExtSize_val</t>
  </si>
  <si>
    <t xml:space="preserve"> ExtSize _comply</t>
  </si>
  <si>
    <t>Simmetry_val</t>
  </si>
  <si>
    <t>Simmetry _comply</t>
  </si>
  <si>
    <t>Hole_val</t>
  </si>
  <si>
    <t>Hole_comply</t>
  </si>
  <si>
    <t>WallTh_val</t>
  </si>
  <si>
    <t>WallTh _comply</t>
  </si>
  <si>
    <t>Dirty_val</t>
  </si>
  <si>
    <t>Dirty_comply</t>
  </si>
  <si>
    <t>Rework_val</t>
  </si>
  <si>
    <t>Rework_comply</t>
  </si>
  <si>
    <t>ПК_</t>
  </si>
  <si>
    <t>ADF-D 450</t>
  </si>
  <si>
    <t>SN: 00241</t>
  </si>
  <si>
    <t>LZM-100</t>
  </si>
  <si>
    <t>30ms</t>
  </si>
  <si>
    <t>8000ms</t>
  </si>
  <si>
    <t> 0,120 гр/ms</t>
  </si>
  <si>
    <t>LT_F + 2000 ms</t>
  </si>
  <si>
    <t>ОТ 0111.471-02</t>
  </si>
  <si>
    <t>02_6_1</t>
  </si>
  <si>
    <t>TR_OQ_SMP_02_6_1</t>
  </si>
  <si>
    <t>02_6_2</t>
  </si>
  <si>
    <t>TR_OQ_SMP_02_6_2</t>
  </si>
  <si>
    <t>02_6_3</t>
  </si>
  <si>
    <t>TR_OQ_SMP_02_6_3</t>
  </si>
  <si>
    <t>6000ms</t>
  </si>
  <si>
    <t>LT_F + 1000 ms</t>
  </si>
  <si>
    <t>02_2_1</t>
  </si>
  <si>
    <t>TR_OQ_SMP_02_2_1</t>
  </si>
  <si>
    <t>02_2_2</t>
  </si>
  <si>
    <t>TR_OQ_SMP_02_2_2</t>
  </si>
  <si>
    <t>02_2_3</t>
  </si>
  <si>
    <t>TR_OQ_SMP_02_2_3</t>
  </si>
  <si>
    <t>40ms</t>
  </si>
  <si>
    <t>02_3_1</t>
  </si>
  <si>
    <t>TR_OQ_SMP_02_3_1</t>
  </si>
  <si>
    <t>02_3_2</t>
  </si>
  <si>
    <t>TR_OQ_SMP_02_3_2</t>
  </si>
  <si>
    <t>02_3_3</t>
  </si>
  <si>
    <t>TR_OQ_SMP_02_3_3</t>
  </si>
  <si>
    <t>02_7_1</t>
  </si>
  <si>
    <t>TR_OQ_SMP_02_7_1</t>
  </si>
  <si>
    <t>02_7_2</t>
  </si>
  <si>
    <t>TR_OQ_SMP_02_7_2</t>
  </si>
  <si>
    <t>02_7_3</t>
  </si>
  <si>
    <t>TR_OQ_SMP_02_7_3</t>
  </si>
  <si>
    <t>  0,145 гр/ms</t>
  </si>
  <si>
    <t>02_8_1</t>
  </si>
  <si>
    <t>TR_OQ_SMP_02_8_1</t>
  </si>
  <si>
    <t>02_8_2</t>
  </si>
  <si>
    <t>TR_OQ_SMP_02_8_2</t>
  </si>
  <si>
    <t>02_8_3</t>
  </si>
  <si>
    <t>TR_OQ_SMP_02_8_3</t>
  </si>
  <si>
    <t>02_4_1</t>
  </si>
  <si>
    <t>TR_OQ_SMP_02_4_1</t>
  </si>
  <si>
    <t>02_4_2</t>
  </si>
  <si>
    <t>TR_OQ_SMP_02_4_2</t>
  </si>
  <si>
    <t>02_4_3</t>
  </si>
  <si>
    <t>TR_OQ_SMP_02_4_3</t>
  </si>
  <si>
    <t>02_1_1</t>
  </si>
  <si>
    <t>TR_OQ_SMP_02_1_1</t>
  </si>
  <si>
    <t>02_1_2</t>
  </si>
  <si>
    <t>TR_OQ_SMP_02_1_2</t>
  </si>
  <si>
    <t>02_1_3</t>
  </si>
  <si>
    <t>TR_OQ_SMP_02_1_3</t>
  </si>
  <si>
    <t>02_5_1</t>
  </si>
  <si>
    <t>TR_OQ_SMP_02_5_1</t>
  </si>
  <si>
    <t>02_5_2</t>
  </si>
  <si>
    <t>TR_OQ_SMP_02_5_2</t>
  </si>
  <si>
    <t>02_5_3</t>
  </si>
  <si>
    <t>TR_OQ_SMP_02_5_3</t>
  </si>
  <si>
    <t>ОТ 0111.471-03</t>
  </si>
  <si>
    <t>03_9_1</t>
  </si>
  <si>
    <t>TR_OQ_SMP_03_9_1</t>
  </si>
  <si>
    <t>03_9_2</t>
  </si>
  <si>
    <t>TR_OQ_SMP_03_9_2</t>
  </si>
  <si>
    <t>03_9_3</t>
  </si>
  <si>
    <t>TR_OQ_SMP_03_9_3</t>
  </si>
  <si>
    <t>03_16_1</t>
  </si>
  <si>
    <t>TR_OQ_SMP_03_16_1</t>
  </si>
  <si>
    <t>03_16_2</t>
  </si>
  <si>
    <t>TR_OQ_SMP_03_16_2</t>
  </si>
  <si>
    <t>03_16_3</t>
  </si>
  <si>
    <t>TR_OQ_SMP_03_16_3</t>
  </si>
  <si>
    <t>03_10_1</t>
  </si>
  <si>
    <t>TR_OQ_SMP_03_10_1</t>
  </si>
  <si>
    <t>03_10_2</t>
  </si>
  <si>
    <t>TR_OQ_SMP_03_10_2</t>
  </si>
  <si>
    <t>03_10_3</t>
  </si>
  <si>
    <t>TR_OQ_SMP_03_10_3</t>
  </si>
  <si>
    <t>03_12_1</t>
  </si>
  <si>
    <t>TR_OQ_SMP_03_12_1</t>
  </si>
  <si>
    <t>03_12_2</t>
  </si>
  <si>
    <t>TR_OQ_SMP_03_12_2</t>
  </si>
  <si>
    <t>03_12_3</t>
  </si>
  <si>
    <t>TR_OQ_SMP_03_12_3</t>
  </si>
  <si>
    <t>03_14_1</t>
  </si>
  <si>
    <t>TR_OQ_SMP_03_14_1</t>
  </si>
  <si>
    <t>03_14_2</t>
  </si>
  <si>
    <t>TR_OQ_SMP_03_14_2</t>
  </si>
  <si>
    <t>03_14_3</t>
  </si>
  <si>
    <t>TR_OQ_SMP_03_14_3</t>
  </si>
  <si>
    <t>03_13_1</t>
  </si>
  <si>
    <t>TR_OQ_SMP_03_13_1</t>
  </si>
  <si>
    <t>03_13_2</t>
  </si>
  <si>
    <t>TR_OQ_SMP_03_13_2</t>
  </si>
  <si>
    <t>03_13_3</t>
  </si>
  <si>
    <t>TR_OQ_SMP_03_13_3</t>
  </si>
  <si>
    <t>03_15_1</t>
  </si>
  <si>
    <t>TR_OQ_SMP_03_15_1</t>
  </si>
  <si>
    <t>03_15_2</t>
  </si>
  <si>
    <t>TR_OQ_SMP_03_15_2</t>
  </si>
  <si>
    <t>03_15_3</t>
  </si>
  <si>
    <t>TR_OQ_SMP_03_15_3</t>
  </si>
  <si>
    <t>03_11_1</t>
  </si>
  <si>
    <t>TR_OQ_SMP_03_11_1</t>
  </si>
  <si>
    <t>03_11_2</t>
  </si>
  <si>
    <t>TR_OQ_SMP_03_11_2</t>
  </si>
  <si>
    <t>03_11_3</t>
  </si>
  <si>
    <t>TR_OQ_SMP_03_11_3</t>
  </si>
  <si>
    <t>Переменные таблиц</t>
  </si>
  <si>
    <t>Имена обязаны начинаться с "TABLE "</t>
  </si>
  <si>
    <t>Название копируемой таблицы</t>
  </si>
  <si>
    <t>Название листа с копируемой таблицей</t>
  </si>
  <si>
    <t>да / нет (нет - фильтровать таблицу по id)</t>
  </si>
  <si>
    <t>да / нет</t>
  </si>
  <si>
    <t>№</t>
  </si>
  <si>
    <t>Имя переменной таблицы</t>
  </si>
  <si>
    <t>Название таблицы</t>
  </si>
  <si>
    <t>Лист таблицы</t>
  </si>
  <si>
    <t>Вставлять в Word целиком</t>
  </si>
  <si>
    <t>Копировать заголовок таблицы</t>
  </si>
  <si>
    <t>TABLE Спецификация</t>
  </si>
  <si>
    <t>Спецификация</t>
  </si>
  <si>
    <t>Табл Спецификация</t>
  </si>
  <si>
    <t>нет</t>
  </si>
  <si>
    <t>да</t>
  </si>
  <si>
    <t>TABLE Insert Whole</t>
  </si>
  <si>
    <t>Test1</t>
  </si>
  <si>
    <t>Табл Test1</t>
  </si>
  <si>
    <t>TABLE Not in table1</t>
  </si>
  <si>
    <t>Таблица для копирования в документ Word</t>
  </si>
  <si>
    <t>Первый столбец "ID" - служебный. Зарезервирован под номера, чтобы можно было фильтровать строки.</t>
  </si>
  <si>
    <t>Количество уникальных индексов в столбце "ID" ОБЯЗАНО совпадать с количеством генерируемых файлов.</t>
  </si>
  <si>
    <t>Первый столбец НЕ переносится в Word. Таблица копируется вместе с форматированием.</t>
  </si>
  <si>
    <t>ID</t>
  </si>
  <si>
    <t>Производитель</t>
  </si>
  <si>
    <t>Артикул</t>
  </si>
  <si>
    <t>Наименование</t>
  </si>
  <si>
    <t>Ед. изм.</t>
  </si>
  <si>
    <t>Кол-во, шт</t>
  </si>
  <si>
    <t>TEST11</t>
  </si>
  <si>
    <t>TEST12</t>
  </si>
  <si>
    <t>1A1</t>
  </si>
  <si>
    <t>1B1</t>
  </si>
  <si>
    <t>1A2</t>
  </si>
  <si>
    <t>1B2</t>
  </si>
  <si>
    <t>1A3</t>
  </si>
  <si>
    <t>1B3</t>
  </si>
  <si>
    <t>1A4</t>
  </si>
  <si>
    <t>1B4</t>
  </si>
  <si>
    <t>1A5</t>
  </si>
  <si>
    <t>1B5</t>
  </si>
  <si>
    <t>1A6</t>
  </si>
  <si>
    <t>1B6</t>
  </si>
  <si>
    <t>1A7</t>
  </si>
  <si>
    <t>1B7</t>
  </si>
  <si>
    <t>1A8</t>
  </si>
  <si>
    <t>1B8</t>
  </si>
  <si>
    <t>1A9</t>
  </si>
  <si>
    <t>1B9</t>
  </si>
  <si>
    <t>1A10</t>
  </si>
  <si>
    <t>1B10</t>
  </si>
  <si>
    <t>1A11</t>
  </si>
  <si>
    <t>1B11</t>
  </si>
  <si>
    <t>1A12</t>
  </si>
  <si>
    <t>1B12</t>
  </si>
  <si>
    <t>1A13</t>
  </si>
  <si>
    <t>1B13</t>
  </si>
  <si>
    <t>1A14</t>
  </si>
  <si>
    <t>1B14</t>
  </si>
  <si>
    <t>1A15</t>
  </si>
  <si>
    <t>1B15</t>
  </si>
  <si>
    <t>1A16</t>
  </si>
  <si>
    <t>1B16</t>
  </si>
  <si>
    <t>1A17</t>
  </si>
  <si>
    <t>1B17</t>
  </si>
  <si>
    <t>1A18</t>
  </si>
  <si>
    <t>1B18</t>
  </si>
  <si>
    <t>1A19</t>
  </si>
  <si>
    <t>1B19</t>
  </si>
  <si>
    <t>1A20</t>
  </si>
  <si>
    <t>1B20</t>
  </si>
  <si>
    <t>1A21</t>
  </si>
  <si>
    <t>1B21</t>
  </si>
  <si>
    <t>1A22</t>
  </si>
  <si>
    <t>1B22</t>
  </si>
  <si>
    <t>1A23</t>
  </si>
  <si>
    <t>1B23</t>
  </si>
  <si>
    <t>1A24</t>
  </si>
  <si>
    <t>1B24</t>
  </si>
  <si>
    <t>1A25</t>
  </si>
  <si>
    <t>1B25</t>
  </si>
  <si>
    <t>1A26</t>
  </si>
  <si>
    <t>1B26</t>
  </si>
  <si>
    <t>1A27</t>
  </si>
  <si>
    <t>1B27</t>
  </si>
  <si>
    <t>1A28</t>
  </si>
  <si>
    <t>1B28</t>
  </si>
  <si>
    <t>1A29</t>
  </si>
  <si>
    <t>1B29</t>
  </si>
  <si>
    <t>1A30</t>
  </si>
  <si>
    <t>1B30</t>
  </si>
  <si>
    <t>TEST21</t>
  </si>
  <si>
    <t>TEST22</t>
  </si>
  <si>
    <t>2A1</t>
  </si>
  <si>
    <t>2B1</t>
  </si>
  <si>
    <t>2A2</t>
  </si>
  <si>
    <t>2B2</t>
  </si>
  <si>
    <t>2A3</t>
  </si>
  <si>
    <t>2B3</t>
  </si>
  <si>
    <t>2A4</t>
  </si>
  <si>
    <t>2B4</t>
  </si>
  <si>
    <t>2A5</t>
  </si>
  <si>
    <t>2B5</t>
  </si>
  <si>
    <t>2A6</t>
  </si>
  <si>
    <t>2B6</t>
  </si>
  <si>
    <t>2A7</t>
  </si>
  <si>
    <t>2B7</t>
  </si>
  <si>
    <t>2A8</t>
  </si>
  <si>
    <t>2B8</t>
  </si>
  <si>
    <t>2A9</t>
  </si>
  <si>
    <t>2B9</t>
  </si>
  <si>
    <t>2A10</t>
  </si>
  <si>
    <t>2B10</t>
  </si>
  <si>
    <t>2A11</t>
  </si>
  <si>
    <t>2B11</t>
  </si>
  <si>
    <t>2A12</t>
  </si>
  <si>
    <t>2B12</t>
  </si>
  <si>
    <t>2A13</t>
  </si>
  <si>
    <t>2B13</t>
  </si>
  <si>
    <t>2A14</t>
  </si>
  <si>
    <t>2B14</t>
  </si>
  <si>
    <t>2A15</t>
  </si>
  <si>
    <t>2B15</t>
  </si>
  <si>
    <t>2A16</t>
  </si>
  <si>
    <t>2B16</t>
  </si>
  <si>
    <t>2A17</t>
  </si>
  <si>
    <t>2B17</t>
  </si>
  <si>
    <t>2A18</t>
  </si>
  <si>
    <t>2B18</t>
  </si>
  <si>
    <t>2A19</t>
  </si>
  <si>
    <t>2B19</t>
  </si>
  <si>
    <t>2A20</t>
  </si>
  <si>
    <t>2B20</t>
  </si>
  <si>
    <t>2A21</t>
  </si>
  <si>
    <t>2B21</t>
  </si>
  <si>
    <t>2A22</t>
  </si>
  <si>
    <t>2B22</t>
  </si>
  <si>
    <t>2A23</t>
  </si>
  <si>
    <t>2B23</t>
  </si>
  <si>
    <t>2A24</t>
  </si>
  <si>
    <t>2B24</t>
  </si>
  <si>
    <t>2A25</t>
  </si>
  <si>
    <t>2B25</t>
  </si>
  <si>
    <t>2A26</t>
  </si>
  <si>
    <t>2B26</t>
  </si>
  <si>
    <t>2A27</t>
  </si>
  <si>
    <t>2B27</t>
  </si>
  <si>
    <t>2A28</t>
  </si>
  <si>
    <t>2B28</t>
  </si>
  <si>
    <t>2A29</t>
  </si>
  <si>
    <t>2B29</t>
  </si>
  <si>
    <t>2A30</t>
  </si>
  <si>
    <t>2B30</t>
  </si>
  <si>
    <t>SP + 290 bit</t>
  </si>
  <si>
    <t> SP + 330 bit</t>
  </si>
  <si>
    <t>н.д.</t>
  </si>
  <si>
    <t>Staff_name</t>
  </si>
  <si>
    <t>Щипкова Елена</t>
  </si>
  <si>
    <t>Validation_phase</t>
  </si>
  <si>
    <t>FMD_M</t>
  </si>
  <si>
    <t>FMD_SN</t>
  </si>
  <si>
    <t xml:space="preserve"> LP</t>
  </si>
  <si>
    <t>LT_S</t>
  </si>
  <si>
    <t>LT_F</t>
  </si>
  <si>
    <t>RS</t>
  </si>
  <si>
    <t>OR_S</t>
  </si>
  <si>
    <t>OR_F</t>
  </si>
  <si>
    <t>FMPT_0</t>
  </si>
  <si>
    <t>FMPT_1</t>
  </si>
  <si>
    <t>FMPT_2</t>
  </si>
  <si>
    <t>FMPT_3</t>
  </si>
  <si>
    <t>FMPO</t>
  </si>
  <si>
    <t>MAES</t>
  </si>
  <si>
    <t>MASS</t>
  </si>
  <si>
    <t>MAHS</t>
  </si>
  <si>
    <t>MAWT</t>
  </si>
  <si>
    <t>CICS</t>
  </si>
  <si>
    <t>PCS</t>
  </si>
  <si>
    <t>PNCC</t>
  </si>
  <si>
    <t>FMOP</t>
  </si>
  <si>
    <t>FMPR</t>
  </si>
  <si>
    <t>FMPT_Merged</t>
  </si>
  <si>
    <t>MAHS_txt</t>
  </si>
  <si>
    <t>MASS_txt</t>
  </si>
  <si>
    <t>RewNum</t>
  </si>
  <si>
    <t>MASS_comply</t>
  </si>
  <si>
    <t>MAHS_comply</t>
  </si>
  <si>
    <t>RewComply</t>
  </si>
  <si>
    <t>MAES_comply</t>
  </si>
  <si>
    <t>Максимальный внешний размер, мод.02</t>
  </si>
  <si>
    <t>Максимальный внешний размер, мод.03</t>
  </si>
  <si>
    <t>CICS_txt</t>
  </si>
  <si>
    <t>CICS_comply</t>
  </si>
  <si>
    <t>Статус загрязнения</t>
  </si>
  <si>
    <t>Загрязнение отсутствует</t>
  </si>
  <si>
    <t>Загрязнение имеется</t>
  </si>
  <si>
    <t>Текст соответствия/несоответствия</t>
  </si>
  <si>
    <t>Соотв.</t>
  </si>
  <si>
    <t>Не соотв.</t>
  </si>
  <si>
    <t>Минимальная толщина стенки (02/03)</t>
  </si>
  <si>
    <t>MAWT_comply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</si>
</sst>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2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8"/>
      <color indexed="64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9"/>
      <name val="Tahoma"/>
      <family val="2"/>
      <charset val="204"/>
    </font>
    <font>
      <sz val="9"/>
      <name val="Tahoma"/>
      <family val="2"/>
      <charset val="204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5"/>
      </patternFill>
    </fill>
    <fill>
      <patternFill patternType="solid">
        <fgColor theme="0" tint="-0.249977111117893"/>
        <bgColor indexed="65"/>
      </patternFill>
    </fill>
    <fill>
      <patternFill patternType="solid">
        <fgColor theme="0"/>
      </patternFill>
    </fill>
    <fill>
      <patternFill patternType="solid">
        <fgColor theme="4" tint="-0.249977111117893"/>
        <bgColor indexed="65"/>
      </patternFill>
    </fill>
    <fill>
      <patternFill patternType="solid">
        <fgColor theme="9" tint="-0.249977111117893"/>
        <bgColor indexed="65"/>
      </patternFill>
    </fill>
    <fill>
      <patternFill patternType="solid">
        <fgColor theme="5" tint="-0.499984740745262"/>
        <bgColor indexed="65"/>
      </patternFill>
    </fill>
    <fill>
      <patternFill patternType="solid">
        <fgColor theme="5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6" fillId="0" borderId="0"/>
  </cellStyleXfs>
  <cellXfs count="39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vertical="center"/>
    </xf>
    <xf numFmtId="0" fontId="5" fillId="3" borderId="1" xfId="0" applyFont="1" applyFill="1" applyBorder="1" applyAlignment="1">
      <alignment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14" fontId="6" fillId="0" borderId="0" xfId="0" applyNumberFormat="1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14" fontId="8" fillId="5" borderId="0" xfId="0" applyNumberFormat="1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10" fillId="0" borderId="0" xfId="0" applyFont="1"/>
    <xf numFmtId="0" fontId="6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7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6" fillId="0" borderId="0" xfId="0" applyFont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12" fillId="8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left" vertical="center"/>
    </xf>
    <xf numFmtId="0" fontId="12" fillId="8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</cellXfs>
  <cellStyles count="2">
    <cellStyle name="Обычный" xfId="0" builtinId="0"/>
    <cellStyle name="Обычный 2" xfId="1"/>
  </cellStyles>
  <dxfs count="82">
    <dxf>
      <font>
        <strike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numFmt numFmtId="0" formatCode="General"/>
      <fill>
        <patternFill patternType="solid">
          <fgColor indexed="65"/>
          <bgColor indexed="65"/>
        </patternFill>
      </fill>
    </dxf>
    <dxf>
      <font>
        <sz val="8"/>
      </font>
      <fill>
        <patternFill patternType="solid">
          <fgColor indexed="65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b val="0"/>
        <i val="0"/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center" textRotation="0" wrapText="1" relativeIndent="0" shrinkToFit="0"/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center" textRotation="0" wrapText="1" relativeIndent="0" shrinkToFit="0"/>
      <border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strike val="0"/>
        <u val="none"/>
        <vertAlign val="baseline"/>
        <sz val="8"/>
        <color indexed="64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numFmt numFmtId="0" formatCode="General"/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ont>
        <sz val="8"/>
      </font>
      <numFmt numFmtId="19" formatCode="dd/mm/yyyy"/>
      <fill>
        <patternFill patternType="solid">
          <fgColor indexed="65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19" formatCode="dd/mm/yyyy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mitry Roadsleadme" id="{16AD60CA-0965-D800-EE4A-BE0CA9173C39}"/>
</personList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DUT id" tableColumnId="1"/>
      <queryTableField id="2" name="Validation_phase" tableColumnId="2"/>
      <queryTableField id="3" name="FMD_M" tableColumnId="3"/>
      <queryTableField id="4" name="FMD_SN" tableColumnId="4"/>
      <queryTableField id="5" name=" LP" tableColumnId="5"/>
      <queryTableField id="6" name="LT_S" tableColumnId="6"/>
      <queryTableField id="7" name="LT_F" tableColumnId="7"/>
      <queryTableField id="8" name="RS" tableColumnId="8"/>
      <queryTableField id="9" name="OR_S" tableColumnId="9"/>
      <queryTableField id="10" name="OR_F" tableColumnId="10"/>
      <queryTableField id="11" name="FMPT_0" tableColumnId="11"/>
      <queryTableField id="12" name="FMPT_1" tableColumnId="12"/>
      <queryTableField id="13" name="FMPT_2" tableColumnId="13"/>
      <queryTableField id="14" name="FMPT_3" tableColumnId="14"/>
      <queryTableField id="15" name="FMPO" tableColumnId="15"/>
      <queryTableField id="16" name="MAES" tableColumnId="16"/>
      <queryTableField id="17" name="MASS" tableColumnId="17"/>
      <queryTableField id="18" name="MAHS" tableColumnId="18"/>
      <queryTableField id="19" name="MAWT" tableColumnId="19"/>
      <queryTableField id="20" name="CICS" tableColumnId="20"/>
      <queryTableField id="21" name="PCS" tableColumnId="21"/>
      <queryTableField id="22" name="PNCC" tableColumnId="22"/>
      <queryTableField id="23" name="FMOP" tableColumnId="23"/>
      <queryTableField id="24" name="FMPR" tableColumnId="2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еременные" displayName="Переменные" ref="A3:AM51">
  <autoFilter ref="A3:AM51"/>
  <tableColumns count="39">
    <tableColumn id="1" name="*ID*" dataDxfId="0">
      <calculatedColumnFormula>Переменные[[#This Row],[TestReportID]]</calculatedColumnFormula>
    </tableColumn>
    <tableColumn id="2" name="*Экспортировать*" dataDxfId="81"/>
    <tableColumn id="3" name="*Имя шаблона*" dataDxfId="80"/>
    <tableColumn id="4" name="*Сегодня*" dataDxfId="79"/>
    <tableColumn id="5" name="*Сегодня2*" dataDxfId="78"/>
    <tableColumn id="6" name="*Спецсимволы*" dataDxfId="77"/>
    <tableColumn id="7" name="TestReportID" dataDxfId="1">
      <calculatedColumnFormula>"FM_OQ_"&amp;Переменные[[#This Row],[DUT id]]</calculatedColumnFormula>
    </tableColumn>
    <tableColumn id="8" name="Place" dataDxfId="76"/>
    <tableColumn id="9" name="Date" dataDxfId="75"/>
    <tableColumn id="10" name="Temperature" dataDxfId="74"/>
    <tableColumn id="11" name="Humidity" dataDxfId="2"/>
    <tableColumn id="38" name="Staff_name" dataDxfId="3">
      <calculatedColumnFormula>VLOOKUP(Переменные[[#This Row],[DUT id]],ИсходныеДанные,15,FALSE)</calculatedColumnFormula>
    </tableColumn>
    <tableColumn id="12" name="Eq_1_id" dataDxfId="73"/>
    <tableColumn id="13" name="Eq_1_model" dataDxfId="72"/>
    <tableColumn id="14" name="Eq_2_id" dataDxfId="71">
      <calculatedColumnFormula>VLOOKUP(Переменные[[#This Row],[DUT id]],ИсходныеДанные,4,FALSE)</calculatedColumnFormula>
    </tableColumn>
    <tableColumn id="15" name="Eq_2_model" dataDxfId="70">
      <calculatedColumnFormula>VLOOKUP(Переменные[[#This Row],[DUT id]],ИсходныеДанные,3,FALSE)</calculatedColumnFormula>
    </tableColumn>
    <tableColumn id="16" name=" LP_val" dataDxfId="69">
      <calculatedColumnFormula>VLOOKUP(Переменные[[#This Row],[DUT id]],ИсходныеДанные,5,FALSE)</calculatedColumnFormula>
    </tableColumn>
    <tableColumn id="17" name="LT_S_val" dataDxfId="68">
      <calculatedColumnFormula>VLOOKUP(Переменные[[#This Row],[DUT id]],ИсходныеДанные,6,FALSE)</calculatedColumnFormula>
    </tableColumn>
    <tableColumn id="18" name="LT_F_val" dataDxfId="67">
      <calculatedColumnFormula>VLOOKUP(Переменные[[#This Row],[DUT id]],ИсходныеДанные,7,FALSE)</calculatedColumnFormula>
    </tableColumn>
    <tableColumn id="19" name="RS_val" dataDxfId="66">
      <calculatedColumnFormula>VLOOKUP(Переменные[[#This Row],[DUT id]],ИсходныеДанные,8,FALSE)</calculatedColumnFormula>
    </tableColumn>
    <tableColumn id="20" name="OR_S_val" dataDxfId="65">
      <calculatedColumnFormula>VLOOKUP(Переменные[[#This Row],[DUT id]],ИсходныеДанные,9,FALSE)</calculatedColumnFormula>
    </tableColumn>
    <tableColumn id="21" name="OR_F_val" dataDxfId="64">
      <calculatedColumnFormula>VLOOKUP(Переменные[[#This Row],[DUT id]],ИсходныеДанные,10,FALSE)</calculatedColumnFormula>
    </tableColumn>
    <tableColumn id="22" name="DUT type" dataDxfId="63"/>
    <tableColumn id="23" name="DUT id" dataDxfId="62"/>
    <tableColumn id="24" name="DUT_SampleParamReportID" dataDxfId="61"/>
    <tableColumn id="25" name="ProcessTime_val" dataDxfId="60">
      <calculatedColumnFormula>VLOOKUP(Переменные[[#This Row],[DUT id]],ИсходныеДанные,27,FALSE)</calculatedColumnFormula>
    </tableColumn>
    <tableColumn id="26" name="ExtSize_val" dataDxfId="59">
      <calculatedColumnFormula>VLOOKUP(Переменные[[#This Row],[DUT id]],ИсходныеДанные,16,FALSE)</calculatedColumnFormula>
    </tableColumn>
    <tableColumn id="27" name=" ExtSize _comply" dataDxfId="58">
      <calculatedColumnFormula>VLOOKUP(Переменные[[#This Row],[DUT id]],ИсходныеДанные,28,FALSE)</calculatedColumnFormula>
    </tableColumn>
    <tableColumn id="28" name="Simmetry_val" dataDxfId="57">
      <calculatedColumnFormula>VLOOKUP(Переменные[[#This Row],[DUT id]],ИсходныеДанные,29,FALSE)</calculatedColumnFormula>
    </tableColumn>
    <tableColumn id="29" name="Simmetry _comply" dataDxfId="56">
      <calculatedColumnFormula>VLOOKUP(Переменные[[#This Row],[DUT id]],ИсходныеДанные,30,FALSE)</calculatedColumnFormula>
    </tableColumn>
    <tableColumn id="30" name="Hole_val" dataDxfId="55">
      <calculatedColumnFormula>VLOOKUP(Переменные[[#This Row],[DUT id]],ИсходныеДанные,31,FALSE)</calculatedColumnFormula>
    </tableColumn>
    <tableColumn id="31" name="Hole_comply" dataDxfId="54">
      <calculatedColumnFormula>VLOOKUP(Переменные[[#This Row],[DUT id]],ИсходныеДанные,32,FALSE)</calculatedColumnFormula>
    </tableColumn>
    <tableColumn id="32" name="WallTh_val" dataDxfId="5">
      <calculatedColumnFormula>VLOOKUP(Переменные[[#This Row],[DUT id]],ИсходныеДанные,19,FALSE)</calculatedColumnFormula>
    </tableColumn>
    <tableColumn id="33" name="WallTh _comply" dataDxfId="4">
      <calculatedColumnFormula>VLOOKUP(Переменные[[#This Row],[DUT id]],ИсходныеДанные,37,FALSE)</calculatedColumnFormula>
    </tableColumn>
    <tableColumn id="34" name="Dirty_val" dataDxfId="53">
      <calculatedColumnFormula>VLOOKUP(Переменные[[#This Row],[DUT id]],ИсходныеДанные,35,FALSE)</calculatedColumnFormula>
    </tableColumn>
    <tableColumn id="35" name="Dirty_comply" dataDxfId="52">
      <calculatedColumnFormula>VLOOKUP(Переменные[[#This Row],[DUT id]],ИсходныеДанные,36,FALSE)</calculatedColumnFormula>
    </tableColumn>
    <tableColumn id="36" name="Rework_val" dataDxfId="51">
      <calculatedColumnFormula>VLOOKUP(Переменные[[#This Row],[DUT id]],ИсходныеДанные,33,FALSE)</calculatedColumnFormula>
    </tableColumn>
    <tableColumn id="37" name="Rework_comply" dataDxfId="50">
      <calculatedColumnFormula>VLOOKUP(Переменные[[#This Row],[DUT id]],ИсходныеДанные,34,FALSE)</calculatedColumnFormula>
    </tableColumn>
    <tableColumn id="39" name="FMPR" dataDxfId="49">
      <calculatedColumnFormula>VLOOKUP(Переменные[[#This Row],[DUT id]],ИсходныеДанные,24,FALSE)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Переменные_таблиц" displayName="Переменные_таблиц" ref="A3:F6">
  <autoFilter ref="A3:F6"/>
  <tableColumns count="6">
    <tableColumn id="1" name="№" dataDxfId="48"/>
    <tableColumn id="2" name="Имя переменной таблицы" dataDxfId="47"/>
    <tableColumn id="3" name="Название таблицы" dataDxfId="46"/>
    <tableColumn id="4" name="Лист таблицы" dataDxfId="45"/>
    <tableColumn id="5" name="Вставлять в Word целиком" dataDxfId="44"/>
    <tableColumn id="6" name="Копировать заголовок таблицы" dataDxfId="43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3" name="Спецификация" displayName="Спецификация" ref="A5:F50">
  <autoFilter ref="A5:F50"/>
  <tableColumns count="6">
    <tableColumn id="1" name="ID" dataDxfId="42"/>
    <tableColumn id="2" name="Производитель" dataDxfId="41"/>
    <tableColumn id="3" name="Артикул" dataDxfId="40"/>
    <tableColumn id="4" name="Наименование" dataDxfId="39"/>
    <tableColumn id="5" name="Ед. изм." dataDxfId="38"/>
    <tableColumn id="6" name="Кол-во, шт" dataDxfId="37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4" name="Test1" displayName="Test1" ref="A5:C35">
  <autoFilter ref="A5:C35"/>
  <tableColumns count="3">
    <tableColumn id="1" name="ID" dataDxfId="36"/>
    <tableColumn id="2" name="TEST11" dataDxfId="35"/>
    <tableColumn id="3" name="TEST12" dataDxfId="34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id="5" name="Test2" displayName="Test2" ref="A5:C35">
  <autoFilter ref="A5:C35"/>
  <tableColumns count="3">
    <tableColumn id="1" name="ID" dataDxfId="33"/>
    <tableColumn id="2" name="TEST21" dataDxfId="32"/>
    <tableColumn id="3" name="TEST22" dataDxfId="3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6" name="FinalMelting" displayName="FinalMelting" ref="A2:X50" tableType="queryTable" totalsRowShown="0" headerRowDxfId="30">
  <autoFilter ref="A2:X50"/>
  <tableColumns count="24">
    <tableColumn id="1" uniqueName="1" name="DUT id" queryTableFieldId="1" dataDxfId="29"/>
    <tableColumn id="2" uniqueName="2" name="Validation_phase" queryTableFieldId="2" dataDxfId="28"/>
    <tableColumn id="3" uniqueName="3" name="FMD_M" queryTableFieldId="3" dataDxfId="27"/>
    <tableColumn id="4" uniqueName="4" name="FMD_SN" queryTableFieldId="4" dataDxfId="26"/>
    <tableColumn id="5" uniqueName="5" name=" LP" queryTableFieldId="5" dataDxfId="25"/>
    <tableColumn id="6" uniqueName="6" name="LT_S" queryTableFieldId="6" dataDxfId="24"/>
    <tableColumn id="7" uniqueName="7" name="LT_F" queryTableFieldId="7" dataDxfId="23"/>
    <tableColumn id="8" uniqueName="8" name="RS" queryTableFieldId="8" dataDxfId="22"/>
    <tableColumn id="9" uniqueName="9" name="OR_S" queryTableFieldId="9" dataDxfId="21"/>
    <tableColumn id="10" uniqueName="10" name="OR_F" queryTableFieldId="10" dataDxfId="20"/>
    <tableColumn id="11" uniqueName="11" name="FMPT_0" queryTableFieldId="11" dataDxfId="19"/>
    <tableColumn id="12" uniqueName="12" name="FMPT_1" queryTableFieldId="12" dataDxfId="18"/>
    <tableColumn id="13" uniqueName="13" name="FMPT_2" queryTableFieldId="13" dataDxfId="17"/>
    <tableColumn id="14" uniqueName="14" name="FMPT_3" queryTableFieldId="14" dataDxfId="16"/>
    <tableColumn id="15" uniqueName="15" name="FMPO" queryTableFieldId="15" dataDxfId="15"/>
    <tableColumn id="16" uniqueName="16" name="MAES" queryTableFieldId="16" dataDxfId="14"/>
    <tableColumn id="17" uniqueName="17" name="MASS" queryTableFieldId="17" dataDxfId="13"/>
    <tableColumn id="18" uniqueName="18" name="MAHS" queryTableFieldId="18" dataDxfId="12"/>
    <tableColumn id="19" uniqueName="19" name="MAWT" queryTableFieldId="19" dataDxfId="11"/>
    <tableColumn id="20" uniqueName="20" name="CICS" queryTableFieldId="20" dataDxfId="10"/>
    <tableColumn id="21" uniqueName="21" name="PCS" queryTableFieldId="21" dataDxfId="9"/>
    <tableColumn id="22" uniqueName="22" name="PNCC" queryTableFieldId="22" dataDxfId="8"/>
    <tableColumn id="23" uniqueName="23" name="FMOP" queryTableFieldId="23" dataDxfId="7"/>
    <tableColumn id="24" uniqueName="24" name="FMPR" queryTableFieldId="24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personId="{16AD60CA-0965-D800-EE4A-BE0CA9173C39}" id="{00020033-00B6-48AC-8BD7-00E3008500B7}" done="0">
    <text xml:space="preserve">Для того, чтобы исключить файл из экспорта, стереть из ячейки "да"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Settings">
    <tabColor theme="0" tint="-0.249977111117893"/>
  </sheetPr>
  <dimension ref="A1:B14"/>
  <sheetViews>
    <sheetView zoomScale="130" workbookViewId="0">
      <selection activeCell="B22" sqref="B22"/>
    </sheetView>
  </sheetViews>
  <sheetFormatPr defaultRowHeight="15" x14ac:dyDescent="0.25"/>
  <cols>
    <col min="1" max="1" width="46.85546875" customWidth="1"/>
    <col min="2" max="2" width="65.7109375" customWidth="1"/>
  </cols>
  <sheetData>
    <row r="1" spans="1:2" s="1" customFormat="1" ht="39.950000000000003" customHeight="1" x14ac:dyDescent="0.25">
      <c r="A1" s="2" t="s">
        <v>0</v>
      </c>
    </row>
    <row r="3" spans="1:2" x14ac:dyDescent="0.25">
      <c r="A3" s="3" t="s">
        <v>1</v>
      </c>
      <c r="B3" s="4" t="s">
        <v>2</v>
      </c>
    </row>
    <row r="4" spans="1:2" x14ac:dyDescent="0.25">
      <c r="A4" s="3" t="s">
        <v>3</v>
      </c>
      <c r="B4" s="5" t="s">
        <v>4</v>
      </c>
    </row>
    <row r="5" spans="1:2" x14ac:dyDescent="0.25">
      <c r="A5" s="3" t="s">
        <v>5</v>
      </c>
      <c r="B5" s="6" t="s">
        <v>6</v>
      </c>
    </row>
    <row r="6" spans="1:2" x14ac:dyDescent="0.25">
      <c r="A6" s="3" t="s">
        <v>7</v>
      </c>
      <c r="B6" s="5" t="s">
        <v>8</v>
      </c>
    </row>
    <row r="7" spans="1:2" x14ac:dyDescent="0.25">
      <c r="A7" s="3" t="s">
        <v>9</v>
      </c>
      <c r="B7" s="6" t="s">
        <v>10</v>
      </c>
    </row>
    <row r="8" spans="1:2" x14ac:dyDescent="0.25">
      <c r="A8" s="3" t="s">
        <v>11</v>
      </c>
      <c r="B8" s="6" t="s">
        <v>12</v>
      </c>
    </row>
    <row r="9" spans="1:2" x14ac:dyDescent="0.25">
      <c r="A9" s="3" t="s">
        <v>13</v>
      </c>
      <c r="B9" s="6" t="b">
        <v>0</v>
      </c>
    </row>
    <row r="10" spans="1:2" x14ac:dyDescent="0.25">
      <c r="A10" s="3" t="s">
        <v>14</v>
      </c>
      <c r="B10" s="6" t="b">
        <v>0</v>
      </c>
    </row>
    <row r="11" spans="1:2" x14ac:dyDescent="0.25">
      <c r="A11" s="3" t="s">
        <v>15</v>
      </c>
      <c r="B11" s="6" t="s">
        <v>16</v>
      </c>
    </row>
    <row r="12" spans="1:2" x14ac:dyDescent="0.25">
      <c r="A12" s="3" t="s">
        <v>17</v>
      </c>
      <c r="B12" s="6" t="b">
        <v>0</v>
      </c>
    </row>
    <row r="13" spans="1:2" x14ac:dyDescent="0.25">
      <c r="A13" s="3" t="s">
        <v>18</v>
      </c>
      <c r="B13" s="6" t="s">
        <v>19</v>
      </c>
    </row>
    <row r="14" spans="1:2" x14ac:dyDescent="0.25">
      <c r="A14" s="3" t="s">
        <v>20</v>
      </c>
      <c r="B14" s="6" t="s">
        <v>21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">
    <tabColor rgb="FF0070C0"/>
    <pageSetUpPr fitToPage="1"/>
  </sheetPr>
  <dimension ref="A1:AM51"/>
  <sheetViews>
    <sheetView tabSelected="1" workbookViewId="0">
      <pane ySplit="3" topLeftCell="A4" activePane="bottomLeft" state="frozen"/>
      <selection activeCell="E53" sqref="E53"/>
      <selection pane="bottomLeft" activeCell="A5" sqref="A5"/>
    </sheetView>
  </sheetViews>
  <sheetFormatPr defaultColWidth="18.7109375" defaultRowHeight="15" x14ac:dyDescent="0.25"/>
  <cols>
    <col min="1" max="1" width="18.42578125" style="8" customWidth="1"/>
    <col min="2" max="2" width="15" style="8" customWidth="1"/>
    <col min="3" max="3" width="12.5703125" style="8" customWidth="1"/>
    <col min="4" max="4" width="14.42578125" style="9" customWidth="1"/>
    <col min="5" max="5" width="18.7109375" style="8" customWidth="1"/>
    <col min="6" max="6" width="16.42578125" style="8" customWidth="1"/>
    <col min="7" max="7" width="18.7109375" style="7" customWidth="1"/>
    <col min="8" max="8" width="9.28515625" style="7" bestFit="1" customWidth="1"/>
    <col min="9" max="9" width="9" style="7" bestFit="1" customWidth="1"/>
    <col min="10" max="10" width="14.140625" style="7" customWidth="1"/>
    <col min="11" max="11" width="12.140625" style="7" bestFit="1" customWidth="1"/>
    <col min="12" max="12" width="13.7109375" style="7" customWidth="1"/>
    <col min="13" max="13" width="11.140625" style="7" bestFit="1" customWidth="1"/>
    <col min="14" max="16" width="18.7109375" style="7" customWidth="1"/>
    <col min="17" max="17" width="15.5703125" style="7" customWidth="1"/>
    <col min="18" max="18" width="14.7109375" style="7" customWidth="1"/>
    <col min="19" max="19" width="14.5703125" style="7" customWidth="1"/>
    <col min="20" max="20" width="14.7109375" style="7" customWidth="1"/>
    <col min="21" max="22" width="12.42578125" style="7" bestFit="1" customWidth="1"/>
    <col min="23" max="25" width="18.7109375" style="7" customWidth="1"/>
    <col min="26" max="26" width="17.42578125" style="7" bestFit="1" customWidth="1"/>
    <col min="27" max="27" width="13.7109375" style="7" bestFit="1" customWidth="1"/>
    <col min="28" max="28" width="17.7109375" style="7" bestFit="1" customWidth="1"/>
    <col min="29" max="29" width="15.5703125" style="7" bestFit="1" customWidth="1"/>
    <col min="30" max="30" width="18.7109375" style="7" customWidth="1"/>
    <col min="31" max="31" width="11.85546875" style="7" bestFit="1" customWidth="1"/>
    <col min="32" max="32" width="18.7109375" style="7"/>
    <col min="33" max="33" width="13.5703125" style="7" bestFit="1" customWidth="1"/>
    <col min="34" max="34" width="18.7109375" style="7"/>
    <col min="35" max="35" width="12.140625" style="7" bestFit="1" customWidth="1"/>
    <col min="36" max="36" width="18.7109375" style="7"/>
    <col min="37" max="37" width="14" style="7" bestFit="1" customWidth="1"/>
    <col min="38" max="16384" width="18.7109375" style="7"/>
  </cols>
  <sheetData>
    <row r="1" spans="1:39" s="10" customFormat="1" ht="39.950000000000003" customHeight="1" x14ac:dyDescent="0.25">
      <c r="A1" s="11" t="s">
        <v>22</v>
      </c>
      <c r="B1" s="11"/>
      <c r="C1" s="11"/>
      <c r="D1" s="12"/>
      <c r="E1" s="11"/>
      <c r="F1" s="11"/>
    </row>
    <row r="3" spans="1:39" s="13" customFormat="1" ht="12.75" thickBot="1" x14ac:dyDescent="0.25">
      <c r="A3" s="14" t="s">
        <v>12</v>
      </c>
      <c r="B3" s="14" t="s">
        <v>23</v>
      </c>
      <c r="C3" s="15" t="s">
        <v>5</v>
      </c>
      <c r="D3" s="16" t="s">
        <v>24</v>
      </c>
      <c r="E3" s="15" t="s">
        <v>25</v>
      </c>
      <c r="F3" s="15" t="s">
        <v>26</v>
      </c>
      <c r="G3" s="13" t="s">
        <v>27</v>
      </c>
      <c r="H3" s="13" t="s">
        <v>28</v>
      </c>
      <c r="I3" s="13" t="s">
        <v>29</v>
      </c>
      <c r="J3" s="13" t="s">
        <v>30</v>
      </c>
      <c r="K3" s="13" t="s">
        <v>31</v>
      </c>
      <c r="L3" s="13" t="s">
        <v>326</v>
      </c>
      <c r="M3" s="13" t="s">
        <v>32</v>
      </c>
      <c r="N3" s="13" t="s">
        <v>33</v>
      </c>
      <c r="O3" s="13" t="s">
        <v>34</v>
      </c>
      <c r="P3" s="13" t="s">
        <v>35</v>
      </c>
      <c r="Q3" s="13" t="s">
        <v>36</v>
      </c>
      <c r="R3" s="13" t="s">
        <v>37</v>
      </c>
      <c r="S3" s="13" t="s">
        <v>38</v>
      </c>
      <c r="T3" s="13" t="s">
        <v>39</v>
      </c>
      <c r="U3" s="13" t="s">
        <v>40</v>
      </c>
      <c r="V3" s="13" t="s">
        <v>41</v>
      </c>
      <c r="W3" s="13" t="s">
        <v>42</v>
      </c>
      <c r="X3" s="13" t="s">
        <v>43</v>
      </c>
      <c r="Y3" s="13" t="s">
        <v>44</v>
      </c>
      <c r="Z3" s="13" t="s">
        <v>45</v>
      </c>
      <c r="AA3" s="13" t="s">
        <v>46</v>
      </c>
      <c r="AB3" s="13" t="s">
        <v>47</v>
      </c>
      <c r="AC3" s="13" t="s">
        <v>48</v>
      </c>
      <c r="AD3" s="13" t="s">
        <v>49</v>
      </c>
      <c r="AE3" s="13" t="s">
        <v>50</v>
      </c>
      <c r="AF3" s="13" t="s">
        <v>51</v>
      </c>
      <c r="AG3" s="13" t="s">
        <v>52</v>
      </c>
      <c r="AH3" s="13" t="s">
        <v>53</v>
      </c>
      <c r="AI3" s="13" t="s">
        <v>54</v>
      </c>
      <c r="AJ3" s="13" t="s">
        <v>55</v>
      </c>
      <c r="AK3" s="13" t="s">
        <v>56</v>
      </c>
      <c r="AL3" s="13" t="s">
        <v>57</v>
      </c>
      <c r="AM3" s="13" t="s">
        <v>350</v>
      </c>
    </row>
    <row r="4" spans="1:39" s="8" customFormat="1" ht="12" thickBot="1" x14ac:dyDescent="0.25">
      <c r="A4" s="17" t="str">
        <f>Переменные[[#This Row],[TestReportID]]</f>
        <v>FM_OQ_02_6_1</v>
      </c>
      <c r="B4" s="8" t="str">
        <f t="shared" ref="B4:B51" si="0">"да"</f>
        <v>да</v>
      </c>
      <c r="C4" s="8" t="str">
        <f t="shared" ref="C4:C51" si="1">template_name</f>
        <v>Val_2 OQ Test Report template</v>
      </c>
      <c r="D4" s="9">
        <f t="shared" ref="D4:D51" ca="1" si="2">TODAY()</f>
        <v>45807</v>
      </c>
      <c r="E4" s="8" t="str">
        <f t="shared" ref="E4:E51" ca="1" si="3">TEXT(TODAY(), "ГГГГ-ММ-ДД")</f>
        <v>2025-05-30</v>
      </c>
      <c r="F4" s="8" t="str">
        <f t="shared" ref="F4:F51" si="4">" ☑  ☐  ☒ "</f>
        <v xml:space="preserve"> ☑  ☐  ☒ </v>
      </c>
      <c r="G4" s="18" t="str">
        <f>"FM_OQ_"&amp;Переменные[[#This Row],[DUT id]]</f>
        <v>FM_OQ_02_6_1</v>
      </c>
      <c r="H4" s="15" t="s">
        <v>58</v>
      </c>
      <c r="I4" s="16">
        <v>45803</v>
      </c>
      <c r="J4" s="15">
        <v>22</v>
      </c>
      <c r="K4" s="15">
        <v>65</v>
      </c>
      <c r="L4" s="15" t="str">
        <f>VLOOKUP(Переменные[[#This Row],[DUT id]],ИсходныеДанные,15,FALSE)</f>
        <v>Щипкова Елена</v>
      </c>
      <c r="M4" s="15" t="s">
        <v>325</v>
      </c>
      <c r="N4" s="15" t="s">
        <v>59</v>
      </c>
      <c r="O4" s="15" t="str">
        <f>VLOOKUP(Переменные[[#This Row],[DUT id]],ИсходныеДанные,4,FALSE)</f>
        <v>SN: 00241</v>
      </c>
      <c r="P4" s="15" t="str">
        <f>VLOOKUP(Переменные[[#This Row],[DUT id]],ИсходныеДанные,3,FALSE)</f>
        <v>LZM-100</v>
      </c>
      <c r="Q4" s="19" t="str">
        <f>VLOOKUP(Переменные[[#This Row],[DUT id]],ИсходныеДанные,5,FALSE)</f>
        <v> SP + 330 bit</v>
      </c>
      <c r="R4" s="19" t="str">
        <f>VLOOKUP(Переменные[[#This Row],[DUT id]],ИсходныеДанные,6,FALSE)</f>
        <v>30ms</v>
      </c>
      <c r="S4" s="19" t="str">
        <f>VLOOKUP(Переменные[[#This Row],[DUT id]],ИсходныеДанные,7,FALSE)</f>
        <v>8000ms</v>
      </c>
      <c r="T4" s="19" t="str">
        <f>VLOOKUP(Переменные[[#This Row],[DUT id]],ИсходныеДанные,8,FALSE)</f>
        <v> 0,120 гр/ms</v>
      </c>
      <c r="U4" s="19">
        <f>VLOOKUP(Переменные[[#This Row],[DUT id]],ИсходныеДанные,9,FALSE)</f>
        <v>0</v>
      </c>
      <c r="V4" s="19" t="str">
        <f>VLOOKUP(Переменные[[#This Row],[DUT id]],ИсходныеДанные,10,FALSE)</f>
        <v>LT_F + 2000 ms</v>
      </c>
      <c r="W4" s="15" t="s">
        <v>66</v>
      </c>
      <c r="X4" s="15" t="s">
        <v>67</v>
      </c>
      <c r="Y4" s="18" t="s">
        <v>68</v>
      </c>
      <c r="Z4" s="20" t="str">
        <f>VLOOKUP(Переменные[[#This Row],[DUT id]],ИсходныеДанные,27,FALSE)</f>
        <v>4,92/0/0/0</v>
      </c>
      <c r="AA4" s="15">
        <f>VLOOKUP(Переменные[[#This Row],[DUT id]],ИсходныеДанные,16,FALSE)</f>
        <v>1.22</v>
      </c>
      <c r="AB4" s="15" t="str">
        <f>VLOOKUP(Переменные[[#This Row],[DUT id]],ИсходныеДанные,28,FALSE)</f>
        <v>Соотв.</v>
      </c>
      <c r="AC4" s="15" t="str">
        <f>VLOOKUP(Переменные[[#This Row],[DUT id]],ИсходныеДанные,29,FALSE)</f>
        <v>Симметрично</v>
      </c>
      <c r="AD4" s="15" t="str">
        <f>VLOOKUP(Переменные[[#This Row],[DUT id]],ИсходныеДанные,30,FALSE)</f>
        <v>Соотв.</v>
      </c>
      <c r="AE4" s="15" t="str">
        <f>VLOOKUP(Переменные[[#This Row],[DUT id]],ИсходныеДанные,31,FALSE)</f>
        <v>Заплавлено</v>
      </c>
      <c r="AF4" s="15" t="str">
        <f>VLOOKUP(Переменные[[#This Row],[DUT id]],ИсходныеДанные,32,FALSE)</f>
        <v>Соотв.</v>
      </c>
      <c r="AG4" s="15">
        <f>VLOOKUP(Переменные[[#This Row],[DUT id]],ИсходныеДанные,19,FALSE)</f>
        <v>0.24</v>
      </c>
      <c r="AH4" s="15" t="str">
        <f>VLOOKUP(Переменные[[#This Row],[DUT id]],ИсходныеДанные,37,FALSE)</f>
        <v>Соотв.</v>
      </c>
      <c r="AI4" s="15" t="str">
        <f>VLOOKUP(Переменные[[#This Row],[DUT id]],ИсходныеДанные,35,FALSE)</f>
        <v>Загрязнение отсутствует</v>
      </c>
      <c r="AJ4" s="15" t="str">
        <f>VLOOKUP(Переменные[[#This Row],[DUT id]],ИсходныеДанные,36,FALSE)</f>
        <v>Соотв.</v>
      </c>
      <c r="AK4" s="15">
        <f>VLOOKUP(Переменные[[#This Row],[DUT id]],ИсходныеДанные,33,FALSE)</f>
        <v>0</v>
      </c>
      <c r="AL4" s="15" t="str">
        <f>VLOOKUP(Переменные[[#This Row],[DUT id]],ИсходныеДанные,34,FALSE)</f>
        <v>Соотв.</v>
      </c>
      <c r="AM4" s="15">
        <f>VLOOKUP(Переменные[[#This Row],[DUT id]],ИсходныеДанные,24,FALSE)</f>
        <v>8</v>
      </c>
    </row>
    <row r="5" spans="1:39" s="8" customFormat="1" ht="12" thickBot="1" x14ac:dyDescent="0.25">
      <c r="A5" s="17" t="str">
        <f>Переменные[[#This Row],[TestReportID]]</f>
        <v>FM_OQ_02_6_2</v>
      </c>
      <c r="B5" s="8" t="str">
        <f t="shared" si="0"/>
        <v>да</v>
      </c>
      <c r="C5" s="8" t="str">
        <f t="shared" si="1"/>
        <v>Val_2 OQ Test Report template</v>
      </c>
      <c r="D5" s="9">
        <f t="shared" ca="1" si="2"/>
        <v>45807</v>
      </c>
      <c r="E5" s="8" t="str">
        <f t="shared" ca="1" si="3"/>
        <v>2025-05-30</v>
      </c>
      <c r="F5" s="8" t="str">
        <f t="shared" si="4"/>
        <v xml:space="preserve"> ☑  ☐  ☒ </v>
      </c>
      <c r="G5" s="18" t="str">
        <f>"FM_OQ_"&amp;Переменные[[#This Row],[DUT id]]</f>
        <v>FM_OQ_02_6_2</v>
      </c>
      <c r="H5" s="15" t="s">
        <v>58</v>
      </c>
      <c r="I5" s="16">
        <v>45803</v>
      </c>
      <c r="J5" s="15">
        <v>22</v>
      </c>
      <c r="K5" s="15">
        <v>65</v>
      </c>
      <c r="L5" s="15" t="str">
        <f>VLOOKUP(Переменные[[#This Row],[DUT id]],ИсходныеДанные,15,FALSE)</f>
        <v>Щипкова Елена</v>
      </c>
      <c r="M5" s="15" t="s">
        <v>325</v>
      </c>
      <c r="N5" s="15" t="s">
        <v>59</v>
      </c>
      <c r="O5" s="15" t="str">
        <f>VLOOKUP(Переменные[[#This Row],[DUT id]],ИсходныеДанные,4,FALSE)</f>
        <v>SN: 00241</v>
      </c>
      <c r="P5" s="15" t="str">
        <f>VLOOKUP(Переменные[[#This Row],[DUT id]],ИсходныеДанные,3,FALSE)</f>
        <v>LZM-100</v>
      </c>
      <c r="Q5" s="19" t="str">
        <f>VLOOKUP(Переменные[[#This Row],[DUT id]],ИсходныеДанные,5,FALSE)</f>
        <v> SP + 330 bit</v>
      </c>
      <c r="R5" s="19" t="str">
        <f>VLOOKUP(Переменные[[#This Row],[DUT id]],ИсходныеДанные,6,FALSE)</f>
        <v>30ms</v>
      </c>
      <c r="S5" s="19" t="str">
        <f>VLOOKUP(Переменные[[#This Row],[DUT id]],ИсходныеДанные,7,FALSE)</f>
        <v>8000ms</v>
      </c>
      <c r="T5" s="19" t="str">
        <f>VLOOKUP(Переменные[[#This Row],[DUT id]],ИсходныеДанные,8,FALSE)</f>
        <v> 0,120 гр/ms</v>
      </c>
      <c r="U5" s="19">
        <f>VLOOKUP(Переменные[[#This Row],[DUT id]],ИсходныеДанные,9,FALSE)</f>
        <v>0</v>
      </c>
      <c r="V5" s="19" t="str">
        <f>VLOOKUP(Переменные[[#This Row],[DUT id]],ИсходныеДанные,10,FALSE)</f>
        <v>LT_F + 2000 ms</v>
      </c>
      <c r="W5" s="15" t="s">
        <v>66</v>
      </c>
      <c r="X5" s="15" t="s">
        <v>69</v>
      </c>
      <c r="Y5" s="18" t="s">
        <v>70</v>
      </c>
      <c r="Z5" s="20" t="str">
        <f>VLOOKUP(Переменные[[#This Row],[DUT id]],ИсходныеДанные,27,FALSE)</f>
        <v>3,83/0/0/0</v>
      </c>
      <c r="AA5" s="15">
        <f>VLOOKUP(Переменные[[#This Row],[DUT id]],ИсходныеДанные,16,FALSE)</f>
        <v>1.24</v>
      </c>
      <c r="AB5" s="15" t="str">
        <f>VLOOKUP(Переменные[[#This Row],[DUT id]],ИсходныеДанные,28,FALSE)</f>
        <v>Соотв.</v>
      </c>
      <c r="AC5" s="15" t="str">
        <f>VLOOKUP(Переменные[[#This Row],[DUT id]],ИсходныеДанные,29,FALSE)</f>
        <v>Симмертично</v>
      </c>
      <c r="AD5" s="15" t="str">
        <f>VLOOKUP(Переменные[[#This Row],[DUT id]],ИсходныеДанные,30,FALSE)</f>
        <v>Соотв.</v>
      </c>
      <c r="AE5" s="15" t="str">
        <f>VLOOKUP(Переменные[[#This Row],[DUT id]],ИсходныеДанные,31,FALSE)</f>
        <v>Заплавлено</v>
      </c>
      <c r="AF5" s="15" t="str">
        <f>VLOOKUP(Переменные[[#This Row],[DUT id]],ИсходныеДанные,32,FALSE)</f>
        <v>Соотв.</v>
      </c>
      <c r="AG5" s="15">
        <f>VLOOKUP(Переменные[[#This Row],[DUT id]],ИсходныеДанные,19,FALSE)</f>
        <v>0.23</v>
      </c>
      <c r="AH5" s="15" t="str">
        <f>VLOOKUP(Переменные[[#This Row],[DUT id]],ИсходныеДанные,37,FALSE)</f>
        <v>Соотв.</v>
      </c>
      <c r="AI5" s="15" t="str">
        <f>VLOOKUP(Переменные[[#This Row],[DUT id]],ИсходныеДанные,35,FALSE)</f>
        <v>Загрязнение отсутствует</v>
      </c>
      <c r="AJ5" s="15" t="str">
        <f>VLOOKUP(Переменные[[#This Row],[DUT id]],ИсходныеДанные,36,FALSE)</f>
        <v>Соотв.</v>
      </c>
      <c r="AK5" s="15">
        <f>VLOOKUP(Переменные[[#This Row],[DUT id]],ИсходныеДанные,33,FALSE)</f>
        <v>0</v>
      </c>
      <c r="AL5" s="15" t="str">
        <f>VLOOKUP(Переменные[[#This Row],[DUT id]],ИсходныеДанные,34,FALSE)</f>
        <v>Соотв.</v>
      </c>
      <c r="AM5" s="15">
        <f>VLOOKUP(Переменные[[#This Row],[DUT id]],ИсходныеДанные,24,FALSE)</f>
        <v>10</v>
      </c>
    </row>
    <row r="6" spans="1:39" s="8" customFormat="1" ht="12" thickBot="1" x14ac:dyDescent="0.25">
      <c r="A6" s="17" t="str">
        <f>Переменные[[#This Row],[TestReportID]]</f>
        <v>FM_OQ_02_6_3</v>
      </c>
      <c r="B6" s="8" t="str">
        <f t="shared" si="0"/>
        <v>да</v>
      </c>
      <c r="C6" s="8" t="str">
        <f t="shared" si="1"/>
        <v>Val_2 OQ Test Report template</v>
      </c>
      <c r="D6" s="9">
        <f t="shared" ca="1" si="2"/>
        <v>45807</v>
      </c>
      <c r="E6" s="8" t="str">
        <f t="shared" ca="1" si="3"/>
        <v>2025-05-30</v>
      </c>
      <c r="F6" s="8" t="str">
        <f t="shared" si="4"/>
        <v xml:space="preserve"> ☑  ☐  ☒ </v>
      </c>
      <c r="G6" s="18" t="str">
        <f>"FM_OQ_"&amp;Переменные[[#This Row],[DUT id]]</f>
        <v>FM_OQ_02_6_3</v>
      </c>
      <c r="H6" s="15" t="s">
        <v>58</v>
      </c>
      <c r="I6" s="16">
        <v>45803</v>
      </c>
      <c r="J6" s="15">
        <v>22</v>
      </c>
      <c r="K6" s="15">
        <v>65</v>
      </c>
      <c r="L6" s="15" t="str">
        <f>VLOOKUP(Переменные[[#This Row],[DUT id]],ИсходныеДанные,15,FALSE)</f>
        <v>Щипкова Елена</v>
      </c>
      <c r="M6" s="15" t="s">
        <v>325</v>
      </c>
      <c r="N6" s="15" t="s">
        <v>59</v>
      </c>
      <c r="O6" s="15" t="str">
        <f>VLOOKUP(Переменные[[#This Row],[DUT id]],ИсходныеДанные,4,FALSE)</f>
        <v>SN: 00241</v>
      </c>
      <c r="P6" s="15" t="str">
        <f>VLOOKUP(Переменные[[#This Row],[DUT id]],ИсходныеДанные,3,FALSE)</f>
        <v>LZM-100</v>
      </c>
      <c r="Q6" s="19" t="str">
        <f>VLOOKUP(Переменные[[#This Row],[DUT id]],ИсходныеДанные,5,FALSE)</f>
        <v> SP + 330 bit</v>
      </c>
      <c r="R6" s="19" t="str">
        <f>VLOOKUP(Переменные[[#This Row],[DUT id]],ИсходныеДанные,6,FALSE)</f>
        <v>30ms</v>
      </c>
      <c r="S6" s="19" t="str">
        <f>VLOOKUP(Переменные[[#This Row],[DUT id]],ИсходныеДанные,7,FALSE)</f>
        <v>8000ms</v>
      </c>
      <c r="T6" s="19" t="str">
        <f>VLOOKUP(Переменные[[#This Row],[DUT id]],ИсходныеДанные,8,FALSE)</f>
        <v> 0,120 гр/ms</v>
      </c>
      <c r="U6" s="19">
        <f>VLOOKUP(Переменные[[#This Row],[DUT id]],ИсходныеДанные,9,FALSE)</f>
        <v>0</v>
      </c>
      <c r="V6" s="19" t="str">
        <f>VLOOKUP(Переменные[[#This Row],[DUT id]],ИсходныеДанные,10,FALSE)</f>
        <v>LT_F + 2000 ms</v>
      </c>
      <c r="W6" s="15" t="s">
        <v>66</v>
      </c>
      <c r="X6" s="15" t="s">
        <v>71</v>
      </c>
      <c r="Y6" s="29" t="s">
        <v>72</v>
      </c>
      <c r="Z6" s="20" t="str">
        <f>VLOOKUP(Переменные[[#This Row],[DUT id]],ИсходныеДанные,27,FALSE)</f>
        <v>5,21/5,21/4,93/0</v>
      </c>
      <c r="AA6" s="15">
        <f>VLOOKUP(Переменные[[#This Row],[DUT id]],ИсходныеДанные,16,FALSE)</f>
        <v>1.29</v>
      </c>
      <c r="AB6" s="15" t="str">
        <f>VLOOKUP(Переменные[[#This Row],[DUT id]],ИсходныеДанные,28,FALSE)</f>
        <v>Не соотв.</v>
      </c>
      <c r="AC6" s="15" t="str">
        <f>VLOOKUP(Переменные[[#This Row],[DUT id]],ИсходныеДанные,29,FALSE)</f>
        <v>Симмертично</v>
      </c>
      <c r="AD6" s="15" t="str">
        <f>VLOOKUP(Переменные[[#This Row],[DUT id]],ИсходныеДанные,30,FALSE)</f>
        <v>Соотв.</v>
      </c>
      <c r="AE6" s="15" t="str">
        <f>VLOOKUP(Переменные[[#This Row],[DUT id]],ИсходныеДанные,31,FALSE)</f>
        <v>Заплавлено</v>
      </c>
      <c r="AF6" s="15" t="str">
        <f>VLOOKUP(Переменные[[#This Row],[DUT id]],ИсходныеДанные,32,FALSE)</f>
        <v>Соотв.</v>
      </c>
      <c r="AG6" s="15">
        <f>VLOOKUP(Переменные[[#This Row],[DUT id]],ИсходныеДанные,19,FALSE)</f>
        <v>0.05</v>
      </c>
      <c r="AH6" s="15" t="str">
        <f>VLOOKUP(Переменные[[#This Row],[DUT id]],ИсходныеДанные,37,FALSE)</f>
        <v>Не соотв.</v>
      </c>
      <c r="AI6" s="15" t="str">
        <f>VLOOKUP(Переменные[[#This Row],[DUT id]],ИсходныеДанные,35,FALSE)</f>
        <v>Загрязнение отсутствует</v>
      </c>
      <c r="AJ6" s="15" t="str">
        <f>VLOOKUP(Переменные[[#This Row],[DUT id]],ИсходныеДанные,36,FALSE)</f>
        <v>Соотв.</v>
      </c>
      <c r="AK6" s="15">
        <f>VLOOKUP(Переменные[[#This Row],[DUT id]],ИсходныеДанные,33,FALSE)</f>
        <v>2</v>
      </c>
      <c r="AL6" s="15" t="str">
        <f>VLOOKUP(Переменные[[#This Row],[DUT id]],ИсходныеДанные,34,FALSE)</f>
        <v>Соотв.</v>
      </c>
      <c r="AM6" s="15">
        <f>VLOOKUP(Переменные[[#This Row],[DUT id]],ИсходныеДанные,24,FALSE)</f>
        <v>2</v>
      </c>
    </row>
    <row r="7" spans="1:39" s="8" customFormat="1" ht="12" thickBot="1" x14ac:dyDescent="0.25">
      <c r="A7" s="17" t="str">
        <f>Переменные[[#This Row],[TestReportID]]</f>
        <v>FM_OQ_02_2_1</v>
      </c>
      <c r="B7" s="8" t="str">
        <f t="shared" si="0"/>
        <v>да</v>
      </c>
      <c r="C7" s="8" t="str">
        <f t="shared" si="1"/>
        <v>Val_2 OQ Test Report template</v>
      </c>
      <c r="D7" s="9">
        <f t="shared" ca="1" si="2"/>
        <v>45807</v>
      </c>
      <c r="E7" s="8" t="str">
        <f t="shared" ca="1" si="3"/>
        <v>2025-05-30</v>
      </c>
      <c r="F7" s="8" t="str">
        <f t="shared" si="4"/>
        <v xml:space="preserve"> ☑  ☐  ☒ </v>
      </c>
      <c r="G7" s="18" t="str">
        <f>"FM_OQ_"&amp;Переменные[[#This Row],[DUT id]]</f>
        <v>FM_OQ_02_2_1</v>
      </c>
      <c r="H7" s="15" t="s">
        <v>58</v>
      </c>
      <c r="I7" s="16">
        <v>45803</v>
      </c>
      <c r="J7" s="15">
        <v>22</v>
      </c>
      <c r="K7" s="15">
        <v>65</v>
      </c>
      <c r="L7" s="15" t="str">
        <f>VLOOKUP(Переменные[[#This Row],[DUT id]],ИсходныеДанные,15,FALSE)</f>
        <v>Щипкова Елена</v>
      </c>
      <c r="M7" s="15" t="s">
        <v>325</v>
      </c>
      <c r="N7" s="15" t="s">
        <v>59</v>
      </c>
      <c r="O7" s="15" t="str">
        <f>VLOOKUP(Переменные[[#This Row],[DUT id]],ИсходныеДанные,4,FALSE)</f>
        <v>SN: 00241</v>
      </c>
      <c r="P7" s="15" t="str">
        <f>VLOOKUP(Переменные[[#This Row],[DUT id]],ИсходныеДанные,3,FALSE)</f>
        <v>LZM-100</v>
      </c>
      <c r="Q7" s="19" t="str">
        <f>VLOOKUP(Переменные[[#This Row],[DUT id]],ИсходныеДанные,5,FALSE)</f>
        <v> SP + 330 bit</v>
      </c>
      <c r="R7" s="19" t="str">
        <f>VLOOKUP(Переменные[[#This Row],[DUT id]],ИсходныеДанные,6,FALSE)</f>
        <v>30ms</v>
      </c>
      <c r="S7" s="19" t="str">
        <f>VLOOKUP(Переменные[[#This Row],[DUT id]],ИсходныеДанные,7,FALSE)</f>
        <v>6000ms</v>
      </c>
      <c r="T7" s="19" t="str">
        <f>VLOOKUP(Переменные[[#This Row],[DUT id]],ИсходныеДанные,8,FALSE)</f>
        <v> 0,120 гр/ms</v>
      </c>
      <c r="U7" s="19">
        <f>VLOOKUP(Переменные[[#This Row],[DUT id]],ИсходныеДанные,9,FALSE)</f>
        <v>0</v>
      </c>
      <c r="V7" s="19" t="str">
        <f>VLOOKUP(Переменные[[#This Row],[DUT id]],ИсходныеДанные,10,FALSE)</f>
        <v>LT_F + 1000 ms</v>
      </c>
      <c r="W7" s="15" t="s">
        <v>66</v>
      </c>
      <c r="X7" s="15" t="s">
        <v>75</v>
      </c>
      <c r="Y7" s="18" t="s">
        <v>76</v>
      </c>
      <c r="Z7" s="18" t="str">
        <f>VLOOKUP(Переменные[[#This Row],[DUT id]],ИсходныеДанные,27,FALSE)</f>
        <v>6,42/0/0/0</v>
      </c>
      <c r="AA7" s="15">
        <f>VLOOKUP(Переменные[[#This Row],[DUT id]],ИсходныеДанные,16,FALSE)</f>
        <v>1.22</v>
      </c>
      <c r="AB7" s="15" t="str">
        <f>VLOOKUP(Переменные[[#This Row],[DUT id]],ИсходныеДанные,28,FALSE)</f>
        <v>Соотв.</v>
      </c>
      <c r="AC7" s="15" t="str">
        <f>VLOOKUP(Переменные[[#This Row],[DUT id]],ИсходныеДанные,29,FALSE)</f>
        <v>Симмертично</v>
      </c>
      <c r="AD7" s="15" t="str">
        <f>VLOOKUP(Переменные[[#This Row],[DUT id]],ИсходныеДанные,30,FALSE)</f>
        <v>Соотв.</v>
      </c>
      <c r="AE7" s="15" t="str">
        <f>VLOOKUP(Переменные[[#This Row],[DUT id]],ИсходныеДанные,31,FALSE)</f>
        <v>Заплавлено</v>
      </c>
      <c r="AF7" s="15" t="str">
        <f>VLOOKUP(Переменные[[#This Row],[DUT id]],ИсходныеДанные,32,FALSE)</f>
        <v>Соотв.</v>
      </c>
      <c r="AG7" s="15">
        <f>VLOOKUP(Переменные[[#This Row],[DUT id]],ИсходныеДанные,19,FALSE)</f>
        <v>0.27</v>
      </c>
      <c r="AH7" s="15" t="str">
        <f>VLOOKUP(Переменные[[#This Row],[DUT id]],ИсходныеДанные,37,FALSE)</f>
        <v>Соотв.</v>
      </c>
      <c r="AI7" s="15" t="str">
        <f>VLOOKUP(Переменные[[#This Row],[DUT id]],ИсходныеДанные,35,FALSE)</f>
        <v>Загрязнение отсутствует</v>
      </c>
      <c r="AJ7" s="15" t="str">
        <f>VLOOKUP(Переменные[[#This Row],[DUT id]],ИсходныеДанные,36,FALSE)</f>
        <v>Соотв.</v>
      </c>
      <c r="AK7" s="15">
        <f>VLOOKUP(Переменные[[#This Row],[DUT id]],ИсходныеДанные,33,FALSE)</f>
        <v>0</v>
      </c>
      <c r="AL7" s="15" t="str">
        <f>VLOOKUP(Переменные[[#This Row],[DUT id]],ИсходныеДанные,34,FALSE)</f>
        <v>Соотв.</v>
      </c>
      <c r="AM7" s="15">
        <f>VLOOKUP(Переменные[[#This Row],[DUT id]],ИсходныеДанные,24,FALSE)</f>
        <v>9</v>
      </c>
    </row>
    <row r="8" spans="1:39" s="8" customFormat="1" ht="12" thickBot="1" x14ac:dyDescent="0.25">
      <c r="A8" s="17" t="str">
        <f>Переменные[[#This Row],[TestReportID]]</f>
        <v>FM_OQ_02_2_2</v>
      </c>
      <c r="B8" s="8" t="str">
        <f t="shared" si="0"/>
        <v>да</v>
      </c>
      <c r="C8" s="8" t="str">
        <f t="shared" si="1"/>
        <v>Val_2 OQ Test Report template</v>
      </c>
      <c r="D8" s="9">
        <f t="shared" ca="1" si="2"/>
        <v>45807</v>
      </c>
      <c r="E8" s="8" t="str">
        <f t="shared" ca="1" si="3"/>
        <v>2025-05-30</v>
      </c>
      <c r="F8" s="8" t="str">
        <f t="shared" si="4"/>
        <v xml:space="preserve"> ☑  ☐  ☒ </v>
      </c>
      <c r="G8" s="18" t="str">
        <f>"FM_OQ_"&amp;Переменные[[#This Row],[DUT id]]</f>
        <v>FM_OQ_02_2_2</v>
      </c>
      <c r="H8" s="15" t="s">
        <v>58</v>
      </c>
      <c r="I8" s="16">
        <v>45803</v>
      </c>
      <c r="J8" s="15">
        <v>22</v>
      </c>
      <c r="K8" s="15">
        <v>65</v>
      </c>
      <c r="L8" s="15" t="str">
        <f>VLOOKUP(Переменные[[#This Row],[DUT id]],ИсходныеДанные,15,FALSE)</f>
        <v>Щипкова Елена</v>
      </c>
      <c r="M8" s="15" t="s">
        <v>325</v>
      </c>
      <c r="N8" s="15" t="s">
        <v>59</v>
      </c>
      <c r="O8" s="15" t="str">
        <f>VLOOKUP(Переменные[[#This Row],[DUT id]],ИсходныеДанные,4,FALSE)</f>
        <v>SN: 00241</v>
      </c>
      <c r="P8" s="15" t="str">
        <f>VLOOKUP(Переменные[[#This Row],[DUT id]],ИсходныеДанные,3,FALSE)</f>
        <v>LZM-100</v>
      </c>
      <c r="Q8" s="19" t="str">
        <f>VLOOKUP(Переменные[[#This Row],[DUT id]],ИсходныеДанные,5,FALSE)</f>
        <v> SP + 330 bit</v>
      </c>
      <c r="R8" s="19" t="str">
        <f>VLOOKUP(Переменные[[#This Row],[DUT id]],ИсходныеДанные,6,FALSE)</f>
        <v>30ms</v>
      </c>
      <c r="S8" s="19" t="str">
        <f>VLOOKUP(Переменные[[#This Row],[DUT id]],ИсходныеДанные,7,FALSE)</f>
        <v>6000ms</v>
      </c>
      <c r="T8" s="19" t="str">
        <f>VLOOKUP(Переменные[[#This Row],[DUT id]],ИсходныеДанные,8,FALSE)</f>
        <v> 0,120 гр/ms</v>
      </c>
      <c r="U8" s="19">
        <f>VLOOKUP(Переменные[[#This Row],[DUT id]],ИсходныеДанные,9,FALSE)</f>
        <v>0</v>
      </c>
      <c r="V8" s="19" t="str">
        <f>VLOOKUP(Переменные[[#This Row],[DUT id]],ИсходныеДанные,10,FALSE)</f>
        <v>LT_F + 1000 ms</v>
      </c>
      <c r="W8" s="15" t="s">
        <v>66</v>
      </c>
      <c r="X8" s="15" t="s">
        <v>77</v>
      </c>
      <c r="Y8" s="18" t="s">
        <v>78</v>
      </c>
      <c r="Z8" s="18" t="str">
        <f>VLOOKUP(Переменные[[#This Row],[DUT id]],ИсходныеДанные,27,FALSE)</f>
        <v>5,41/0/0/0</v>
      </c>
      <c r="AA8" s="15">
        <f>VLOOKUP(Переменные[[#This Row],[DUT id]],ИсходныеДанные,16,FALSE)</f>
        <v>1.21</v>
      </c>
      <c r="AB8" s="15" t="str">
        <f>VLOOKUP(Переменные[[#This Row],[DUT id]],ИсходныеДанные,28,FALSE)</f>
        <v>Соотв.</v>
      </c>
      <c r="AC8" s="15" t="str">
        <f>VLOOKUP(Переменные[[#This Row],[DUT id]],ИсходныеДанные,29,FALSE)</f>
        <v>Симмертично</v>
      </c>
      <c r="AD8" s="15" t="str">
        <f>VLOOKUP(Переменные[[#This Row],[DUT id]],ИсходныеДанные,30,FALSE)</f>
        <v>Соотв.</v>
      </c>
      <c r="AE8" s="15" t="str">
        <f>VLOOKUP(Переменные[[#This Row],[DUT id]],ИсходныеДанные,31,FALSE)</f>
        <v>Заплавлено</v>
      </c>
      <c r="AF8" s="15" t="str">
        <f>VLOOKUP(Переменные[[#This Row],[DUT id]],ИсходныеДанные,32,FALSE)</f>
        <v>Соотв.</v>
      </c>
      <c r="AG8" s="15">
        <f>VLOOKUP(Переменные[[#This Row],[DUT id]],ИсходныеДанные,19,FALSE)</f>
        <v>0.11</v>
      </c>
      <c r="AH8" s="15" t="str">
        <f>VLOOKUP(Переменные[[#This Row],[DUT id]],ИсходныеДанные,37,FALSE)</f>
        <v>Соотв.</v>
      </c>
      <c r="AI8" s="15" t="str">
        <f>VLOOKUP(Переменные[[#This Row],[DUT id]],ИсходныеДанные,35,FALSE)</f>
        <v>Загрязнение отсутствует</v>
      </c>
      <c r="AJ8" s="15" t="str">
        <f>VLOOKUP(Переменные[[#This Row],[DUT id]],ИсходныеДанные,36,FALSE)</f>
        <v>Соотв.</v>
      </c>
      <c r="AK8" s="15">
        <f>VLOOKUP(Переменные[[#This Row],[DUT id]],ИсходныеДанные,33,FALSE)</f>
        <v>0</v>
      </c>
      <c r="AL8" s="15" t="str">
        <f>VLOOKUP(Переменные[[#This Row],[DUT id]],ИсходныеДанные,34,FALSE)</f>
        <v>Соотв.</v>
      </c>
      <c r="AM8" s="15">
        <f>VLOOKUP(Переменные[[#This Row],[DUT id]],ИсходныеДанные,24,FALSE)</f>
        <v>9</v>
      </c>
    </row>
    <row r="9" spans="1:39" s="8" customFormat="1" ht="12" thickBot="1" x14ac:dyDescent="0.25">
      <c r="A9" s="17" t="str">
        <f>Переменные[[#This Row],[TestReportID]]</f>
        <v>FM_OQ_02_2_3</v>
      </c>
      <c r="B9" s="8" t="str">
        <f t="shared" si="0"/>
        <v>да</v>
      </c>
      <c r="C9" s="8" t="str">
        <f t="shared" si="1"/>
        <v>Val_2 OQ Test Report template</v>
      </c>
      <c r="D9" s="9">
        <f t="shared" ca="1" si="2"/>
        <v>45807</v>
      </c>
      <c r="E9" s="8" t="str">
        <f t="shared" ca="1" si="3"/>
        <v>2025-05-30</v>
      </c>
      <c r="F9" s="8" t="str">
        <f t="shared" si="4"/>
        <v xml:space="preserve"> ☑  ☐  ☒ </v>
      </c>
      <c r="G9" s="18" t="str">
        <f>"FM_OQ_"&amp;Переменные[[#This Row],[DUT id]]</f>
        <v>FM_OQ_02_2_3</v>
      </c>
      <c r="H9" s="15" t="s">
        <v>58</v>
      </c>
      <c r="I9" s="16">
        <v>45803</v>
      </c>
      <c r="J9" s="15">
        <v>22</v>
      </c>
      <c r="K9" s="15">
        <v>65</v>
      </c>
      <c r="L9" s="15" t="str">
        <f>VLOOKUP(Переменные[[#This Row],[DUT id]],ИсходныеДанные,15,FALSE)</f>
        <v>Щипкова Елена</v>
      </c>
      <c r="M9" s="15" t="s">
        <v>325</v>
      </c>
      <c r="N9" s="15" t="s">
        <v>59</v>
      </c>
      <c r="O9" s="15" t="str">
        <f>VLOOKUP(Переменные[[#This Row],[DUT id]],ИсходныеДанные,4,FALSE)</f>
        <v>SN: 00241</v>
      </c>
      <c r="P9" s="15" t="str">
        <f>VLOOKUP(Переменные[[#This Row],[DUT id]],ИсходныеДанные,3,FALSE)</f>
        <v>LZM-100</v>
      </c>
      <c r="Q9" s="19" t="str">
        <f>VLOOKUP(Переменные[[#This Row],[DUT id]],ИсходныеДанные,5,FALSE)</f>
        <v> SP + 330 bit</v>
      </c>
      <c r="R9" s="19" t="str">
        <f>VLOOKUP(Переменные[[#This Row],[DUT id]],ИсходныеДанные,6,FALSE)</f>
        <v>30ms</v>
      </c>
      <c r="S9" s="19" t="str">
        <f>VLOOKUP(Переменные[[#This Row],[DUT id]],ИсходныеДанные,7,FALSE)</f>
        <v>6000ms</v>
      </c>
      <c r="T9" s="19" t="str">
        <f>VLOOKUP(Переменные[[#This Row],[DUT id]],ИсходныеДанные,8,FALSE)</f>
        <v> 0,120 гр/ms</v>
      </c>
      <c r="U9" s="19">
        <f>VLOOKUP(Переменные[[#This Row],[DUT id]],ИсходныеДанные,9,FALSE)</f>
        <v>0</v>
      </c>
      <c r="V9" s="19" t="str">
        <f>VLOOKUP(Переменные[[#This Row],[DUT id]],ИсходныеДанные,10,FALSE)</f>
        <v>LT_F + 1000 ms</v>
      </c>
      <c r="W9" s="15" t="s">
        <v>66</v>
      </c>
      <c r="X9" s="15" t="s">
        <v>79</v>
      </c>
      <c r="Y9" s="18" t="s">
        <v>80</v>
      </c>
      <c r="Z9" s="18" t="str">
        <f>VLOOKUP(Переменные[[#This Row],[DUT id]],ИсходныеДанные,27,FALSE)</f>
        <v>5,49/0/0/0</v>
      </c>
      <c r="AA9" s="15">
        <f>VLOOKUP(Переменные[[#This Row],[DUT id]],ИсходныеДанные,16,FALSE)</f>
        <v>1.21</v>
      </c>
      <c r="AB9" s="15" t="str">
        <f>VLOOKUP(Переменные[[#This Row],[DUT id]],ИсходныеДанные,28,FALSE)</f>
        <v>Соотв.</v>
      </c>
      <c r="AC9" s="15" t="str">
        <f>VLOOKUP(Переменные[[#This Row],[DUT id]],ИсходныеДанные,29,FALSE)</f>
        <v>Симмертично</v>
      </c>
      <c r="AD9" s="15" t="str">
        <f>VLOOKUP(Переменные[[#This Row],[DUT id]],ИсходныеДанные,30,FALSE)</f>
        <v>Соотв.</v>
      </c>
      <c r="AE9" s="15" t="str">
        <f>VLOOKUP(Переменные[[#This Row],[DUT id]],ИсходныеДанные,31,FALSE)</f>
        <v>Заплавлено</v>
      </c>
      <c r="AF9" s="15" t="str">
        <f>VLOOKUP(Переменные[[#This Row],[DUT id]],ИсходныеДанные,32,FALSE)</f>
        <v>Соотв.</v>
      </c>
      <c r="AG9" s="15">
        <f>VLOOKUP(Переменные[[#This Row],[DUT id]],ИсходныеДанные,19,FALSE)</f>
        <v>0.28000000000000003</v>
      </c>
      <c r="AH9" s="15" t="str">
        <f>VLOOKUP(Переменные[[#This Row],[DUT id]],ИсходныеДанные,37,FALSE)</f>
        <v>Соотв.</v>
      </c>
      <c r="AI9" s="15" t="str">
        <f>VLOOKUP(Переменные[[#This Row],[DUT id]],ИсходныеДанные,35,FALSE)</f>
        <v>Загрязнение отсутствует</v>
      </c>
      <c r="AJ9" s="15" t="str">
        <f>VLOOKUP(Переменные[[#This Row],[DUT id]],ИсходныеДанные,36,FALSE)</f>
        <v>Соотв.</v>
      </c>
      <c r="AK9" s="15">
        <f>VLOOKUP(Переменные[[#This Row],[DUT id]],ИсходныеДанные,33,FALSE)</f>
        <v>0</v>
      </c>
      <c r="AL9" s="15" t="str">
        <f>VLOOKUP(Переменные[[#This Row],[DUT id]],ИсходныеДанные,34,FALSE)</f>
        <v>Соотв.</v>
      </c>
      <c r="AM9" s="15">
        <f>VLOOKUP(Переменные[[#This Row],[DUT id]],ИсходныеДанные,24,FALSE)</f>
        <v>8</v>
      </c>
    </row>
    <row r="10" spans="1:39" s="8" customFormat="1" ht="12" thickBot="1" x14ac:dyDescent="0.25">
      <c r="A10" s="17" t="str">
        <f>Переменные[[#This Row],[TestReportID]]</f>
        <v>FM_OQ_02_3_1</v>
      </c>
      <c r="B10" s="8" t="str">
        <f t="shared" si="0"/>
        <v>да</v>
      </c>
      <c r="C10" s="8" t="str">
        <f t="shared" si="1"/>
        <v>Val_2 OQ Test Report template</v>
      </c>
      <c r="D10" s="9">
        <f t="shared" ca="1" si="2"/>
        <v>45807</v>
      </c>
      <c r="E10" s="8" t="str">
        <f t="shared" ca="1" si="3"/>
        <v>2025-05-30</v>
      </c>
      <c r="F10" s="8" t="str">
        <f t="shared" si="4"/>
        <v xml:space="preserve"> ☑  ☐  ☒ </v>
      </c>
      <c r="G10" s="18" t="str">
        <f>"FM_OQ_"&amp;Переменные[[#This Row],[DUT id]]</f>
        <v>FM_OQ_02_3_1</v>
      </c>
      <c r="H10" s="15" t="s">
        <v>58</v>
      </c>
      <c r="I10" s="16">
        <v>45803</v>
      </c>
      <c r="J10" s="15">
        <v>22</v>
      </c>
      <c r="K10" s="15">
        <v>65</v>
      </c>
      <c r="L10" s="15" t="str">
        <f>VLOOKUP(Переменные[[#This Row],[DUT id]],ИсходныеДанные,15,FALSE)</f>
        <v>Щипкова Елена</v>
      </c>
      <c r="M10" s="15" t="s">
        <v>325</v>
      </c>
      <c r="N10" s="15" t="s">
        <v>59</v>
      </c>
      <c r="O10" s="15" t="str">
        <f>VLOOKUP(Переменные[[#This Row],[DUT id]],ИсходныеДанные,4,FALSE)</f>
        <v>SN: 00241</v>
      </c>
      <c r="P10" s="15" t="str">
        <f>VLOOKUP(Переменные[[#This Row],[DUT id]],ИсходныеДанные,3,FALSE)</f>
        <v>LZM-100</v>
      </c>
      <c r="Q10" s="19" t="str">
        <f>VLOOKUP(Переменные[[#This Row],[DUT id]],ИсходныеДанные,5,FALSE)</f>
        <v>SP + 290 bit</v>
      </c>
      <c r="R10" s="19" t="str">
        <f>VLOOKUP(Переменные[[#This Row],[DUT id]],ИсходныеДанные,6,FALSE)</f>
        <v>40ms</v>
      </c>
      <c r="S10" s="19" t="str">
        <f>VLOOKUP(Переменные[[#This Row],[DUT id]],ИсходныеДанные,7,FALSE)</f>
        <v>6000ms</v>
      </c>
      <c r="T10" s="19" t="str">
        <f>VLOOKUP(Переменные[[#This Row],[DUT id]],ИсходныеДанные,8,FALSE)</f>
        <v> 0,120 гр/ms</v>
      </c>
      <c r="U10" s="19">
        <f>VLOOKUP(Переменные[[#This Row],[DUT id]],ИсходныеДанные,9,FALSE)</f>
        <v>0</v>
      </c>
      <c r="V10" s="19" t="str">
        <f>VLOOKUP(Переменные[[#This Row],[DUT id]],ИсходныеДанные,10,FALSE)</f>
        <v>LT_F + 2000 ms</v>
      </c>
      <c r="W10" s="15" t="s">
        <v>66</v>
      </c>
      <c r="X10" s="15" t="s">
        <v>82</v>
      </c>
      <c r="Y10" s="18" t="s">
        <v>83</v>
      </c>
      <c r="Z10" s="18" t="str">
        <f>VLOOKUP(Переменные[[#This Row],[DUT id]],ИсходныеДанные,27,FALSE)</f>
        <v>6,22/4,32/5,02/0</v>
      </c>
      <c r="AA10" s="15">
        <f>VLOOKUP(Переменные[[#This Row],[DUT id]],ИсходныеДанные,16,FALSE)</f>
        <v>1.18</v>
      </c>
      <c r="AB10" s="15" t="str">
        <f>VLOOKUP(Переменные[[#This Row],[DUT id]],ИсходныеДанные,28,FALSE)</f>
        <v>Соотв.</v>
      </c>
      <c r="AC10" s="15" t="str">
        <f>VLOOKUP(Переменные[[#This Row],[DUT id]],ИсходныеДанные,29,FALSE)</f>
        <v>Симмертично</v>
      </c>
      <c r="AD10" s="15" t="str">
        <f>VLOOKUP(Переменные[[#This Row],[DUT id]],ИсходныеДанные,30,FALSE)</f>
        <v>Соотв.</v>
      </c>
      <c r="AE10" s="15" t="str">
        <f>VLOOKUP(Переменные[[#This Row],[DUT id]],ИсходныеДанные,31,FALSE)</f>
        <v>Не заплавлено</v>
      </c>
      <c r="AF10" s="15" t="str">
        <f>VLOOKUP(Переменные[[#This Row],[DUT id]],ИсходныеДанные,32,FALSE)</f>
        <v>Не соотв.</v>
      </c>
      <c r="AG10" s="15">
        <f>VLOOKUP(Переменные[[#This Row],[DUT id]],ИсходныеДанные,19,FALSE)</f>
        <v>-1</v>
      </c>
      <c r="AH10" s="15" t="str">
        <f>VLOOKUP(Переменные[[#This Row],[DUT id]],ИсходныеДанные,37,FALSE)</f>
        <v>Не соотв.</v>
      </c>
      <c r="AI10" s="15" t="str">
        <f>VLOOKUP(Переменные[[#This Row],[DUT id]],ИсходныеДанные,35,FALSE)</f>
        <v>Загрязнение отсутствует</v>
      </c>
      <c r="AJ10" s="15" t="str">
        <f>VLOOKUP(Переменные[[#This Row],[DUT id]],ИсходныеДанные,36,FALSE)</f>
        <v>Соотв.</v>
      </c>
      <c r="AK10" s="15">
        <f>VLOOKUP(Переменные[[#This Row],[DUT id]],ИсходныеДанные,33,FALSE)</f>
        <v>2</v>
      </c>
      <c r="AL10" s="15" t="str">
        <f>VLOOKUP(Переменные[[#This Row],[DUT id]],ИсходныеДанные,34,FALSE)</f>
        <v>Соотв.</v>
      </c>
      <c r="AM10" s="15">
        <f>VLOOKUP(Переменные[[#This Row],[DUT id]],ИсходныеДанные,24,FALSE)</f>
        <v>3</v>
      </c>
    </row>
    <row r="11" spans="1:39" s="8" customFormat="1" ht="12" thickBot="1" x14ac:dyDescent="0.25">
      <c r="A11" s="17" t="str">
        <f>Переменные[[#This Row],[TestReportID]]</f>
        <v>FM_OQ_02_3_2</v>
      </c>
      <c r="B11" s="8" t="str">
        <f t="shared" si="0"/>
        <v>да</v>
      </c>
      <c r="C11" s="8" t="str">
        <f t="shared" si="1"/>
        <v>Val_2 OQ Test Report template</v>
      </c>
      <c r="D11" s="9">
        <f t="shared" ca="1" si="2"/>
        <v>45807</v>
      </c>
      <c r="E11" s="8" t="str">
        <f t="shared" ca="1" si="3"/>
        <v>2025-05-30</v>
      </c>
      <c r="F11" s="8" t="str">
        <f t="shared" si="4"/>
        <v xml:space="preserve"> ☑  ☐  ☒ </v>
      </c>
      <c r="G11" s="18" t="str">
        <f>"FM_OQ_"&amp;Переменные[[#This Row],[DUT id]]</f>
        <v>FM_OQ_02_3_2</v>
      </c>
      <c r="H11" s="15" t="s">
        <v>58</v>
      </c>
      <c r="I11" s="16">
        <v>45803</v>
      </c>
      <c r="J11" s="15">
        <v>22</v>
      </c>
      <c r="K11" s="15">
        <v>65</v>
      </c>
      <c r="L11" s="15" t="str">
        <f>VLOOKUP(Переменные[[#This Row],[DUT id]],ИсходныеДанные,15,FALSE)</f>
        <v>Щипкова Елена</v>
      </c>
      <c r="M11" s="15" t="s">
        <v>325</v>
      </c>
      <c r="N11" s="15" t="s">
        <v>59</v>
      </c>
      <c r="O11" s="15" t="str">
        <f>VLOOKUP(Переменные[[#This Row],[DUT id]],ИсходныеДанные,4,FALSE)</f>
        <v>SN: 00241</v>
      </c>
      <c r="P11" s="15" t="str">
        <f>VLOOKUP(Переменные[[#This Row],[DUT id]],ИсходныеДанные,3,FALSE)</f>
        <v>LZM-100</v>
      </c>
      <c r="Q11" s="19" t="str">
        <f>VLOOKUP(Переменные[[#This Row],[DUT id]],ИсходныеДанные,5,FALSE)</f>
        <v>SP + 290 bit</v>
      </c>
      <c r="R11" s="19" t="str">
        <f>VLOOKUP(Переменные[[#This Row],[DUT id]],ИсходныеДанные,6,FALSE)</f>
        <v>40ms</v>
      </c>
      <c r="S11" s="19" t="str">
        <f>VLOOKUP(Переменные[[#This Row],[DUT id]],ИсходныеДанные,7,FALSE)</f>
        <v>6000ms</v>
      </c>
      <c r="T11" s="19" t="str">
        <f>VLOOKUP(Переменные[[#This Row],[DUT id]],ИсходныеДанные,8,FALSE)</f>
        <v> 0,120 гр/ms</v>
      </c>
      <c r="U11" s="19">
        <f>VLOOKUP(Переменные[[#This Row],[DUT id]],ИсходныеДанные,9,FALSE)</f>
        <v>0</v>
      </c>
      <c r="V11" s="19" t="str">
        <f>VLOOKUP(Переменные[[#This Row],[DUT id]],ИсходныеДанные,10,FALSE)</f>
        <v>LT_F + 2000 ms</v>
      </c>
      <c r="W11" s="15" t="s">
        <v>66</v>
      </c>
      <c r="X11" s="15" t="s">
        <v>84</v>
      </c>
      <c r="Y11" s="18" t="s">
        <v>85</v>
      </c>
      <c r="Z11" s="18" t="str">
        <f>VLOOKUP(Переменные[[#This Row],[DUT id]],ИсходныеДанные,27,FALSE)</f>
        <v>5,67/0/0/0</v>
      </c>
      <c r="AA11" s="15">
        <f>VLOOKUP(Переменные[[#This Row],[DUT id]],ИсходныеДанные,16,FALSE)</f>
        <v>1.17</v>
      </c>
      <c r="AB11" s="15" t="str">
        <f>VLOOKUP(Переменные[[#This Row],[DUT id]],ИсходныеДанные,28,FALSE)</f>
        <v>Соотв.</v>
      </c>
      <c r="AC11" s="15" t="str">
        <f>VLOOKUP(Переменные[[#This Row],[DUT id]],ИсходныеДанные,29,FALSE)</f>
        <v>Симмертично</v>
      </c>
      <c r="AD11" s="15" t="str">
        <f>VLOOKUP(Переменные[[#This Row],[DUT id]],ИсходныеДанные,30,FALSE)</f>
        <v>Соотв.</v>
      </c>
      <c r="AE11" s="15" t="str">
        <f>VLOOKUP(Переменные[[#This Row],[DUT id]],ИсходныеДанные,31,FALSE)</f>
        <v>Заплавлено</v>
      </c>
      <c r="AF11" s="15" t="str">
        <f>VLOOKUP(Переменные[[#This Row],[DUT id]],ИсходныеДанные,32,FALSE)</f>
        <v>Соотв.</v>
      </c>
      <c r="AG11" s="15">
        <f>VLOOKUP(Переменные[[#This Row],[DUT id]],ИсходныеДанные,19,FALSE)</f>
        <v>0.18</v>
      </c>
      <c r="AH11" s="15" t="str">
        <f>VLOOKUP(Переменные[[#This Row],[DUT id]],ИсходныеДанные,37,FALSE)</f>
        <v>Соотв.</v>
      </c>
      <c r="AI11" s="15" t="str">
        <f>VLOOKUP(Переменные[[#This Row],[DUT id]],ИсходныеДанные,35,FALSE)</f>
        <v>Загрязнение отсутствует</v>
      </c>
      <c r="AJ11" s="15" t="str">
        <f>VLOOKUP(Переменные[[#This Row],[DUT id]],ИсходныеДанные,36,FALSE)</f>
        <v>Соотв.</v>
      </c>
      <c r="AK11" s="15">
        <f>VLOOKUP(Переменные[[#This Row],[DUT id]],ИсходныеДанные,33,FALSE)</f>
        <v>0</v>
      </c>
      <c r="AL11" s="15" t="str">
        <f>VLOOKUP(Переменные[[#This Row],[DUT id]],ИсходныеДанные,34,FALSE)</f>
        <v>Соотв.</v>
      </c>
      <c r="AM11" s="15">
        <f>VLOOKUP(Переменные[[#This Row],[DUT id]],ИсходныеДанные,24,FALSE)</f>
        <v>8</v>
      </c>
    </row>
    <row r="12" spans="1:39" s="8" customFormat="1" ht="12" thickBot="1" x14ac:dyDescent="0.25">
      <c r="A12" s="17" t="str">
        <f>Переменные[[#This Row],[TestReportID]]</f>
        <v>FM_OQ_02_3_3</v>
      </c>
      <c r="B12" s="8" t="str">
        <f t="shared" si="0"/>
        <v>да</v>
      </c>
      <c r="C12" s="8" t="str">
        <f t="shared" si="1"/>
        <v>Val_2 OQ Test Report template</v>
      </c>
      <c r="D12" s="9">
        <f t="shared" ca="1" si="2"/>
        <v>45807</v>
      </c>
      <c r="E12" s="8" t="str">
        <f t="shared" ca="1" si="3"/>
        <v>2025-05-30</v>
      </c>
      <c r="F12" s="8" t="str">
        <f t="shared" si="4"/>
        <v xml:space="preserve"> ☑  ☐  ☒ </v>
      </c>
      <c r="G12" s="18" t="str">
        <f>"FM_OQ_"&amp;Переменные[[#This Row],[DUT id]]</f>
        <v>FM_OQ_02_3_3</v>
      </c>
      <c r="H12" s="15" t="s">
        <v>58</v>
      </c>
      <c r="I12" s="16">
        <v>45803</v>
      </c>
      <c r="J12" s="15">
        <v>22</v>
      </c>
      <c r="K12" s="15">
        <v>65</v>
      </c>
      <c r="L12" s="15" t="str">
        <f>VLOOKUP(Переменные[[#This Row],[DUT id]],ИсходныеДанные,15,FALSE)</f>
        <v>Щипкова Елена</v>
      </c>
      <c r="M12" s="15" t="s">
        <v>325</v>
      </c>
      <c r="N12" s="15" t="s">
        <v>59</v>
      </c>
      <c r="O12" s="15" t="str">
        <f>VLOOKUP(Переменные[[#This Row],[DUT id]],ИсходныеДанные,4,FALSE)</f>
        <v>SN: 00241</v>
      </c>
      <c r="P12" s="15" t="str">
        <f>VLOOKUP(Переменные[[#This Row],[DUT id]],ИсходныеДанные,3,FALSE)</f>
        <v>LZM-100</v>
      </c>
      <c r="Q12" s="19" t="str">
        <f>VLOOKUP(Переменные[[#This Row],[DUT id]],ИсходныеДанные,5,FALSE)</f>
        <v>SP + 290 bit</v>
      </c>
      <c r="R12" s="19" t="str">
        <f>VLOOKUP(Переменные[[#This Row],[DUT id]],ИсходныеДанные,6,FALSE)</f>
        <v>40ms</v>
      </c>
      <c r="S12" s="19" t="str">
        <f>VLOOKUP(Переменные[[#This Row],[DUT id]],ИсходныеДанные,7,FALSE)</f>
        <v>6000ms</v>
      </c>
      <c r="T12" s="19" t="str">
        <f>VLOOKUP(Переменные[[#This Row],[DUT id]],ИсходныеДанные,8,FALSE)</f>
        <v> 0,120 гр/ms</v>
      </c>
      <c r="U12" s="19">
        <f>VLOOKUP(Переменные[[#This Row],[DUT id]],ИсходныеДанные,9,FALSE)</f>
        <v>0</v>
      </c>
      <c r="V12" s="19" t="str">
        <f>VLOOKUP(Переменные[[#This Row],[DUT id]],ИсходныеДанные,10,FALSE)</f>
        <v>LT_F + 2000 ms</v>
      </c>
      <c r="W12" s="15" t="s">
        <v>66</v>
      </c>
      <c r="X12" s="15" t="s">
        <v>86</v>
      </c>
      <c r="Y12" s="18" t="s">
        <v>87</v>
      </c>
      <c r="Z12" s="18" t="str">
        <f>VLOOKUP(Переменные[[#This Row],[DUT id]],ИсходныеДанные,27,FALSE)</f>
        <v>5,48/0/0/0</v>
      </c>
      <c r="AA12" s="15">
        <f>VLOOKUP(Переменные[[#This Row],[DUT id]],ИсходныеДанные,16,FALSE)</f>
        <v>1.21</v>
      </c>
      <c r="AB12" s="15" t="str">
        <f>VLOOKUP(Переменные[[#This Row],[DUT id]],ИсходныеДанные,28,FALSE)</f>
        <v>Соотв.</v>
      </c>
      <c r="AC12" s="15" t="str">
        <f>VLOOKUP(Переменные[[#This Row],[DUT id]],ИсходныеДанные,29,FALSE)</f>
        <v>Симмертично</v>
      </c>
      <c r="AD12" s="15" t="str">
        <f>VLOOKUP(Переменные[[#This Row],[DUT id]],ИсходныеДанные,30,FALSE)</f>
        <v>Соотв.</v>
      </c>
      <c r="AE12" s="15" t="str">
        <f>VLOOKUP(Переменные[[#This Row],[DUT id]],ИсходныеДанные,31,FALSE)</f>
        <v>Заплавлено</v>
      </c>
      <c r="AF12" s="15" t="str">
        <f>VLOOKUP(Переменные[[#This Row],[DUT id]],ИсходныеДанные,32,FALSE)</f>
        <v>Соотв.</v>
      </c>
      <c r="AG12" s="15">
        <f>VLOOKUP(Переменные[[#This Row],[DUT id]],ИсходныеДанные,19,FALSE)</f>
        <v>0.28000000000000003</v>
      </c>
      <c r="AH12" s="15" t="str">
        <f>VLOOKUP(Переменные[[#This Row],[DUT id]],ИсходныеДанные,37,FALSE)</f>
        <v>Соотв.</v>
      </c>
      <c r="AI12" s="15" t="str">
        <f>VLOOKUP(Переменные[[#This Row],[DUT id]],ИсходныеДанные,35,FALSE)</f>
        <v>Загрязнение отсутствует</v>
      </c>
      <c r="AJ12" s="15" t="str">
        <f>VLOOKUP(Переменные[[#This Row],[DUT id]],ИсходныеДанные,36,FALSE)</f>
        <v>Соотв.</v>
      </c>
      <c r="AK12" s="15">
        <f>VLOOKUP(Переменные[[#This Row],[DUT id]],ИсходныеДанные,33,FALSE)</f>
        <v>0</v>
      </c>
      <c r="AL12" s="15" t="str">
        <f>VLOOKUP(Переменные[[#This Row],[DUT id]],ИсходныеДанные,34,FALSE)</f>
        <v>Соотв.</v>
      </c>
      <c r="AM12" s="15">
        <f>VLOOKUP(Переменные[[#This Row],[DUT id]],ИсходныеДанные,24,FALSE)</f>
        <v>10</v>
      </c>
    </row>
    <row r="13" spans="1:39" s="8" customFormat="1" ht="12" thickBot="1" x14ac:dyDescent="0.25">
      <c r="A13" s="17" t="str">
        <f>Переменные[[#This Row],[TestReportID]]</f>
        <v>FM_OQ_02_7_1</v>
      </c>
      <c r="B13" s="8" t="str">
        <f t="shared" si="0"/>
        <v>да</v>
      </c>
      <c r="C13" s="8" t="str">
        <f t="shared" si="1"/>
        <v>Val_2 OQ Test Report template</v>
      </c>
      <c r="D13" s="9">
        <f t="shared" ca="1" si="2"/>
        <v>45807</v>
      </c>
      <c r="E13" s="8" t="str">
        <f t="shared" ca="1" si="3"/>
        <v>2025-05-30</v>
      </c>
      <c r="F13" s="8" t="str">
        <f t="shared" si="4"/>
        <v xml:space="preserve"> ☑  ☐  ☒ </v>
      </c>
      <c r="G13" s="18" t="str">
        <f>"FM_OQ_"&amp;Переменные[[#This Row],[DUT id]]</f>
        <v>FM_OQ_02_7_1</v>
      </c>
      <c r="H13" s="15" t="s">
        <v>58</v>
      </c>
      <c r="I13" s="16">
        <v>45803</v>
      </c>
      <c r="J13" s="15">
        <v>22</v>
      </c>
      <c r="K13" s="15">
        <v>65</v>
      </c>
      <c r="L13" s="15" t="str">
        <f>VLOOKUP(Переменные[[#This Row],[DUT id]],ИсходныеДанные,15,FALSE)</f>
        <v>Щипкова Елена</v>
      </c>
      <c r="M13" s="15" t="s">
        <v>325</v>
      </c>
      <c r="N13" s="15" t="s">
        <v>59</v>
      </c>
      <c r="O13" s="15" t="str">
        <f>VLOOKUP(Переменные[[#This Row],[DUT id]],ИсходныеДанные,4,FALSE)</f>
        <v>SN: 00241</v>
      </c>
      <c r="P13" s="15" t="str">
        <f>VLOOKUP(Переменные[[#This Row],[DUT id]],ИсходныеДанные,3,FALSE)</f>
        <v>LZM-100</v>
      </c>
      <c r="Q13" s="19" t="str">
        <f>VLOOKUP(Переменные[[#This Row],[DUT id]],ИсходныеДанные,5,FALSE)</f>
        <v>SP + 290 bit</v>
      </c>
      <c r="R13" s="19" t="str">
        <f>VLOOKUP(Переменные[[#This Row],[DUT id]],ИсходныеДанные,6,FALSE)</f>
        <v>40ms</v>
      </c>
      <c r="S13" s="19" t="str">
        <f>VLOOKUP(Переменные[[#This Row],[DUT id]],ИсходныеДанные,7,FALSE)</f>
        <v>8000ms</v>
      </c>
      <c r="T13" s="19" t="str">
        <f>VLOOKUP(Переменные[[#This Row],[DUT id]],ИсходныеДанные,8,FALSE)</f>
        <v> 0,120 гр/ms</v>
      </c>
      <c r="U13" s="19">
        <f>VLOOKUP(Переменные[[#This Row],[DUT id]],ИсходныеДанные,9,FALSE)</f>
        <v>0</v>
      </c>
      <c r="V13" s="19" t="str">
        <f>VLOOKUP(Переменные[[#This Row],[DUT id]],ИсходныеДанные,10,FALSE)</f>
        <v>LT_F + 1000 ms</v>
      </c>
      <c r="W13" s="15" t="s">
        <v>66</v>
      </c>
      <c r="X13" s="15" t="s">
        <v>88</v>
      </c>
      <c r="Y13" s="18" t="s">
        <v>89</v>
      </c>
      <c r="Z13" s="18" t="str">
        <f>VLOOKUP(Переменные[[#This Row],[DUT id]],ИсходныеДанные,27,FALSE)</f>
        <v>6,2/0/0/0</v>
      </c>
      <c r="AA13" s="15">
        <f>VLOOKUP(Переменные[[#This Row],[DUT id]],ИсходныеДанные,16,FALSE)</f>
        <v>1.1599999999999999</v>
      </c>
      <c r="AB13" s="15" t="str">
        <f>VLOOKUP(Переменные[[#This Row],[DUT id]],ИсходныеДанные,28,FALSE)</f>
        <v>Соотв.</v>
      </c>
      <c r="AC13" s="15" t="str">
        <f>VLOOKUP(Переменные[[#This Row],[DUT id]],ИсходныеДанные,29,FALSE)</f>
        <v>Симмертично</v>
      </c>
      <c r="AD13" s="15" t="str">
        <f>VLOOKUP(Переменные[[#This Row],[DUT id]],ИсходныеДанные,30,FALSE)</f>
        <v>Соотв.</v>
      </c>
      <c r="AE13" s="15" t="str">
        <f>VLOOKUP(Переменные[[#This Row],[DUT id]],ИсходныеДанные,31,FALSE)</f>
        <v>Заплавлено</v>
      </c>
      <c r="AF13" s="15" t="str">
        <f>VLOOKUP(Переменные[[#This Row],[DUT id]],ИсходныеДанные,32,FALSE)</f>
        <v>Соотв.</v>
      </c>
      <c r="AG13" s="15">
        <f>VLOOKUP(Переменные[[#This Row],[DUT id]],ИсходныеДанные,19,FALSE)</f>
        <v>0.18</v>
      </c>
      <c r="AH13" s="15" t="str">
        <f>VLOOKUP(Переменные[[#This Row],[DUT id]],ИсходныеДанные,37,FALSE)</f>
        <v>Соотв.</v>
      </c>
      <c r="AI13" s="15" t="str">
        <f>VLOOKUP(Переменные[[#This Row],[DUT id]],ИсходныеДанные,35,FALSE)</f>
        <v>Загрязнение отсутствует</v>
      </c>
      <c r="AJ13" s="15" t="str">
        <f>VLOOKUP(Переменные[[#This Row],[DUT id]],ИсходныеДанные,36,FALSE)</f>
        <v>Соотв.</v>
      </c>
      <c r="AK13" s="15">
        <f>VLOOKUP(Переменные[[#This Row],[DUT id]],ИсходныеДанные,33,FALSE)</f>
        <v>0</v>
      </c>
      <c r="AL13" s="15" t="str">
        <f>VLOOKUP(Переменные[[#This Row],[DUT id]],ИсходныеДанные,34,FALSE)</f>
        <v>Соотв.</v>
      </c>
      <c r="AM13" s="15">
        <f>VLOOKUP(Переменные[[#This Row],[DUT id]],ИсходныеДанные,24,FALSE)</f>
        <v>9</v>
      </c>
    </row>
    <row r="14" spans="1:39" s="8" customFormat="1" ht="12" thickBot="1" x14ac:dyDescent="0.25">
      <c r="A14" s="17" t="str">
        <f>Переменные[[#This Row],[TestReportID]]</f>
        <v>FM_OQ_02_7_2</v>
      </c>
      <c r="B14" s="8" t="str">
        <f t="shared" si="0"/>
        <v>да</v>
      </c>
      <c r="C14" s="8" t="str">
        <f t="shared" si="1"/>
        <v>Val_2 OQ Test Report template</v>
      </c>
      <c r="D14" s="9">
        <f t="shared" ca="1" si="2"/>
        <v>45807</v>
      </c>
      <c r="E14" s="8" t="str">
        <f t="shared" ca="1" si="3"/>
        <v>2025-05-30</v>
      </c>
      <c r="F14" s="8" t="str">
        <f t="shared" si="4"/>
        <v xml:space="preserve"> ☑  ☐  ☒ </v>
      </c>
      <c r="G14" s="18" t="str">
        <f>"FM_OQ_"&amp;Переменные[[#This Row],[DUT id]]</f>
        <v>FM_OQ_02_7_2</v>
      </c>
      <c r="H14" s="15" t="s">
        <v>58</v>
      </c>
      <c r="I14" s="16">
        <v>45803</v>
      </c>
      <c r="J14" s="15">
        <v>22</v>
      </c>
      <c r="K14" s="15">
        <v>65</v>
      </c>
      <c r="L14" s="15" t="str">
        <f>VLOOKUP(Переменные[[#This Row],[DUT id]],ИсходныеДанные,15,FALSE)</f>
        <v>Щипкова Елена</v>
      </c>
      <c r="M14" s="15" t="s">
        <v>325</v>
      </c>
      <c r="N14" s="15" t="s">
        <v>59</v>
      </c>
      <c r="O14" s="15" t="str">
        <f>VLOOKUP(Переменные[[#This Row],[DUT id]],ИсходныеДанные,4,FALSE)</f>
        <v>SN: 00241</v>
      </c>
      <c r="P14" s="15" t="str">
        <f>VLOOKUP(Переменные[[#This Row],[DUT id]],ИсходныеДанные,3,FALSE)</f>
        <v>LZM-100</v>
      </c>
      <c r="Q14" s="19" t="str">
        <f>VLOOKUP(Переменные[[#This Row],[DUT id]],ИсходныеДанные,5,FALSE)</f>
        <v>SP + 290 bit</v>
      </c>
      <c r="R14" s="19" t="str">
        <f>VLOOKUP(Переменные[[#This Row],[DUT id]],ИсходныеДанные,6,FALSE)</f>
        <v>40ms</v>
      </c>
      <c r="S14" s="19" t="str">
        <f>VLOOKUP(Переменные[[#This Row],[DUT id]],ИсходныеДанные,7,FALSE)</f>
        <v>8000ms</v>
      </c>
      <c r="T14" s="19" t="str">
        <f>VLOOKUP(Переменные[[#This Row],[DUT id]],ИсходныеДанные,8,FALSE)</f>
        <v> 0,120 гр/ms</v>
      </c>
      <c r="U14" s="19">
        <f>VLOOKUP(Переменные[[#This Row],[DUT id]],ИсходныеДанные,9,FALSE)</f>
        <v>0</v>
      </c>
      <c r="V14" s="19" t="str">
        <f>VLOOKUP(Переменные[[#This Row],[DUT id]],ИсходныеДанные,10,FALSE)</f>
        <v>LT_F + 1000 ms</v>
      </c>
      <c r="W14" s="15" t="s">
        <v>66</v>
      </c>
      <c r="X14" s="15" t="s">
        <v>90</v>
      </c>
      <c r="Y14" s="18" t="s">
        <v>91</v>
      </c>
      <c r="Z14" s="18" t="str">
        <f>VLOOKUP(Переменные[[#This Row],[DUT id]],ИсходныеДанные,27,FALSE)</f>
        <v>4,71/0/0/0</v>
      </c>
      <c r="AA14" s="15">
        <f>VLOOKUP(Переменные[[#This Row],[DUT id]],ИсходныеДанные,16,FALSE)</f>
        <v>1.2</v>
      </c>
      <c r="AB14" s="15" t="str">
        <f>VLOOKUP(Переменные[[#This Row],[DUT id]],ИсходныеДанные,28,FALSE)</f>
        <v>Соотв.</v>
      </c>
      <c r="AC14" s="15" t="str">
        <f>VLOOKUP(Переменные[[#This Row],[DUT id]],ИсходныеДанные,29,FALSE)</f>
        <v>Симмертично</v>
      </c>
      <c r="AD14" s="15" t="str">
        <f>VLOOKUP(Переменные[[#This Row],[DUT id]],ИсходныеДанные,30,FALSE)</f>
        <v>Соотв.</v>
      </c>
      <c r="AE14" s="15" t="str">
        <f>VLOOKUP(Переменные[[#This Row],[DUT id]],ИсходныеДанные,31,FALSE)</f>
        <v>Заплавлено</v>
      </c>
      <c r="AF14" s="15" t="str">
        <f>VLOOKUP(Переменные[[#This Row],[DUT id]],ИсходныеДанные,32,FALSE)</f>
        <v>Соотв.</v>
      </c>
      <c r="AG14" s="15">
        <f>VLOOKUP(Переменные[[#This Row],[DUT id]],ИсходныеДанные,19,FALSE)</f>
        <v>0.26</v>
      </c>
      <c r="AH14" s="15" t="str">
        <f>VLOOKUP(Переменные[[#This Row],[DUT id]],ИсходныеДанные,37,FALSE)</f>
        <v>Соотв.</v>
      </c>
      <c r="AI14" s="15" t="str">
        <f>VLOOKUP(Переменные[[#This Row],[DUT id]],ИсходныеДанные,35,FALSE)</f>
        <v>Загрязнение отсутствует</v>
      </c>
      <c r="AJ14" s="15" t="str">
        <f>VLOOKUP(Переменные[[#This Row],[DUT id]],ИсходныеДанные,36,FALSE)</f>
        <v>Соотв.</v>
      </c>
      <c r="AK14" s="15">
        <f>VLOOKUP(Переменные[[#This Row],[DUT id]],ИсходныеДанные,33,FALSE)</f>
        <v>0</v>
      </c>
      <c r="AL14" s="15" t="str">
        <f>VLOOKUP(Переменные[[#This Row],[DUT id]],ИсходныеДанные,34,FALSE)</f>
        <v>Соотв.</v>
      </c>
      <c r="AM14" s="15">
        <f>VLOOKUP(Переменные[[#This Row],[DUT id]],ИсходныеДанные,24,FALSE)</f>
        <v>10</v>
      </c>
    </row>
    <row r="15" spans="1:39" s="8" customFormat="1" ht="12" thickBot="1" x14ac:dyDescent="0.25">
      <c r="A15" s="17" t="str">
        <f>Переменные[[#This Row],[TestReportID]]</f>
        <v>FM_OQ_02_7_3</v>
      </c>
      <c r="B15" s="8" t="str">
        <f t="shared" si="0"/>
        <v>да</v>
      </c>
      <c r="C15" s="8" t="str">
        <f t="shared" si="1"/>
        <v>Val_2 OQ Test Report template</v>
      </c>
      <c r="D15" s="9">
        <f t="shared" ca="1" si="2"/>
        <v>45807</v>
      </c>
      <c r="E15" s="8" t="str">
        <f t="shared" ca="1" si="3"/>
        <v>2025-05-30</v>
      </c>
      <c r="F15" s="8" t="str">
        <f t="shared" si="4"/>
        <v xml:space="preserve"> ☑  ☐  ☒ </v>
      </c>
      <c r="G15" s="18" t="str">
        <f>"FM_OQ_"&amp;Переменные[[#This Row],[DUT id]]</f>
        <v>FM_OQ_02_7_3</v>
      </c>
      <c r="H15" s="15" t="s">
        <v>58</v>
      </c>
      <c r="I15" s="16">
        <v>45803</v>
      </c>
      <c r="J15" s="15">
        <v>22</v>
      </c>
      <c r="K15" s="15">
        <v>65</v>
      </c>
      <c r="L15" s="15" t="str">
        <f>VLOOKUP(Переменные[[#This Row],[DUT id]],ИсходныеДанные,15,FALSE)</f>
        <v>Щипкова Елена</v>
      </c>
      <c r="M15" s="15" t="s">
        <v>325</v>
      </c>
      <c r="N15" s="15" t="s">
        <v>59</v>
      </c>
      <c r="O15" s="15" t="str">
        <f>VLOOKUP(Переменные[[#This Row],[DUT id]],ИсходныеДанные,4,FALSE)</f>
        <v>SN: 00241</v>
      </c>
      <c r="P15" s="15" t="str">
        <f>VLOOKUP(Переменные[[#This Row],[DUT id]],ИсходныеДанные,3,FALSE)</f>
        <v>LZM-100</v>
      </c>
      <c r="Q15" s="19" t="str">
        <f>VLOOKUP(Переменные[[#This Row],[DUT id]],ИсходныеДанные,5,FALSE)</f>
        <v>SP + 290 bit</v>
      </c>
      <c r="R15" s="19" t="str">
        <f>VLOOKUP(Переменные[[#This Row],[DUT id]],ИсходныеДанные,6,FALSE)</f>
        <v>40ms</v>
      </c>
      <c r="S15" s="19" t="str">
        <f>VLOOKUP(Переменные[[#This Row],[DUT id]],ИсходныеДанные,7,FALSE)</f>
        <v>8000ms</v>
      </c>
      <c r="T15" s="19" t="str">
        <f>VLOOKUP(Переменные[[#This Row],[DUT id]],ИсходныеДанные,8,FALSE)</f>
        <v> 0,120 гр/ms</v>
      </c>
      <c r="U15" s="19">
        <f>VLOOKUP(Переменные[[#This Row],[DUT id]],ИсходныеДанные,9,FALSE)</f>
        <v>0</v>
      </c>
      <c r="V15" s="19" t="str">
        <f>VLOOKUP(Переменные[[#This Row],[DUT id]],ИсходныеДанные,10,FALSE)</f>
        <v>LT_F + 1000 ms</v>
      </c>
      <c r="W15" s="15" t="s">
        <v>66</v>
      </c>
      <c r="X15" s="15" t="s">
        <v>92</v>
      </c>
      <c r="Y15" s="18" t="s">
        <v>93</v>
      </c>
      <c r="Z15" s="18" t="str">
        <f>VLOOKUP(Переменные[[#This Row],[DUT id]],ИсходныеДанные,27,FALSE)</f>
        <v>6,19/5,17/0/0</v>
      </c>
      <c r="AA15" s="15">
        <f>VLOOKUP(Переменные[[#This Row],[DUT id]],ИсходныеДанные,16,FALSE)</f>
        <v>1.21</v>
      </c>
      <c r="AB15" s="15" t="str">
        <f>VLOOKUP(Переменные[[#This Row],[DUT id]],ИсходныеДанные,28,FALSE)</f>
        <v>Соотв.</v>
      </c>
      <c r="AC15" s="15" t="str">
        <f>VLOOKUP(Переменные[[#This Row],[DUT id]],ИсходныеДанные,29,FALSE)</f>
        <v>Симмертично</v>
      </c>
      <c r="AD15" s="15" t="str">
        <f>VLOOKUP(Переменные[[#This Row],[DUT id]],ИсходныеДанные,30,FALSE)</f>
        <v>Соотв.</v>
      </c>
      <c r="AE15" s="15" t="str">
        <f>VLOOKUP(Переменные[[#This Row],[DUT id]],ИсходныеДанные,31,FALSE)</f>
        <v>Заплавлено</v>
      </c>
      <c r="AF15" s="15" t="str">
        <f>VLOOKUP(Переменные[[#This Row],[DUT id]],ИсходныеДанные,32,FALSE)</f>
        <v>Соотв.</v>
      </c>
      <c r="AG15" s="30">
        <f>VLOOKUP(Переменные[[#This Row],[DUT id]],ИсходныеДанные,19,FALSE)</f>
        <v>0.19</v>
      </c>
      <c r="AH15" s="15" t="str">
        <f>VLOOKUP(Переменные[[#This Row],[DUT id]],ИсходныеДанные,37,FALSE)</f>
        <v>Соотв.</v>
      </c>
      <c r="AI15" s="15" t="str">
        <f>VLOOKUP(Переменные[[#This Row],[DUT id]],ИсходныеДанные,35,FALSE)</f>
        <v>Загрязнение отсутствует</v>
      </c>
      <c r="AJ15" s="15" t="str">
        <f>VLOOKUP(Переменные[[#This Row],[DUT id]],ИсходныеДанные,36,FALSE)</f>
        <v>Соотв.</v>
      </c>
      <c r="AK15" s="15">
        <f>VLOOKUP(Переменные[[#This Row],[DUT id]],ИсходныеДанные,33,FALSE)</f>
        <v>1</v>
      </c>
      <c r="AL15" s="15" t="str">
        <f>VLOOKUP(Переменные[[#This Row],[DUT id]],ИсходныеДанные,34,FALSE)</f>
        <v>Соотв.</v>
      </c>
      <c r="AM15" s="15">
        <f>VLOOKUP(Переменные[[#This Row],[DUT id]],ИсходныеДанные,24,FALSE)</f>
        <v>9</v>
      </c>
    </row>
    <row r="16" spans="1:39" s="8" customFormat="1" ht="12" thickBot="1" x14ac:dyDescent="0.25">
      <c r="A16" s="17" t="str">
        <f>Переменные[[#This Row],[TestReportID]]</f>
        <v>FM_OQ_02_8_1</v>
      </c>
      <c r="B16" s="8" t="str">
        <f t="shared" si="0"/>
        <v>да</v>
      </c>
      <c r="C16" s="8" t="str">
        <f t="shared" si="1"/>
        <v>Val_2 OQ Test Report template</v>
      </c>
      <c r="D16" s="9">
        <f t="shared" ca="1" si="2"/>
        <v>45807</v>
      </c>
      <c r="E16" s="8" t="str">
        <f t="shared" ca="1" si="3"/>
        <v>2025-05-30</v>
      </c>
      <c r="F16" s="8" t="str">
        <f t="shared" si="4"/>
        <v xml:space="preserve"> ☑  ☐  ☒ </v>
      </c>
      <c r="G16" s="18" t="str">
        <f>"FM_OQ_"&amp;Переменные[[#This Row],[DUT id]]</f>
        <v>FM_OQ_02_8_1</v>
      </c>
      <c r="H16" s="15" t="s">
        <v>58</v>
      </c>
      <c r="I16" s="16">
        <v>45803</v>
      </c>
      <c r="J16" s="15">
        <v>22</v>
      </c>
      <c r="K16" s="15">
        <v>65</v>
      </c>
      <c r="L16" s="15" t="str">
        <f>VLOOKUP(Переменные[[#This Row],[DUT id]],ИсходныеДанные,15,FALSE)</f>
        <v>Щипкова Елена</v>
      </c>
      <c r="M16" s="15" t="s">
        <v>325</v>
      </c>
      <c r="N16" s="15" t="s">
        <v>59</v>
      </c>
      <c r="O16" s="15" t="str">
        <f>VLOOKUP(Переменные[[#This Row],[DUT id]],ИсходныеДанные,4,FALSE)</f>
        <v>SN: 00241</v>
      </c>
      <c r="P16" s="15" t="str">
        <f>VLOOKUP(Переменные[[#This Row],[DUT id]],ИсходныеДанные,3,FALSE)</f>
        <v>LZM-100</v>
      </c>
      <c r="Q16" s="19" t="str">
        <f>VLOOKUP(Переменные[[#This Row],[DUT id]],ИсходныеДанные,5,FALSE)</f>
        <v> SP + 330 bit</v>
      </c>
      <c r="R16" s="19" t="str">
        <f>VLOOKUP(Переменные[[#This Row],[DUT id]],ИсходныеДанные,6,FALSE)</f>
        <v>40ms</v>
      </c>
      <c r="S16" s="19" t="str">
        <f>VLOOKUP(Переменные[[#This Row],[DUT id]],ИсходныеДанные,7,FALSE)</f>
        <v>8000ms</v>
      </c>
      <c r="T16" s="19" t="str">
        <f>VLOOKUP(Переменные[[#This Row],[DUT id]],ИсходныеДанные,8,FALSE)</f>
        <v>  0,145 гр/ms</v>
      </c>
      <c r="U16" s="19">
        <f>VLOOKUP(Переменные[[#This Row],[DUT id]],ИсходныеДанные,9,FALSE)</f>
        <v>0</v>
      </c>
      <c r="V16" s="19" t="str">
        <f>VLOOKUP(Переменные[[#This Row],[DUT id]],ИсходныеДанные,10,FALSE)</f>
        <v>LT_F + 2000 ms</v>
      </c>
      <c r="W16" s="15" t="s">
        <v>66</v>
      </c>
      <c r="X16" s="15" t="s">
        <v>95</v>
      </c>
      <c r="Y16" s="18" t="s">
        <v>96</v>
      </c>
      <c r="Z16" s="18" t="str">
        <f>VLOOKUP(Переменные[[#This Row],[DUT id]],ИсходныеДанные,27,FALSE)</f>
        <v>5,45/0/0/0</v>
      </c>
      <c r="AA16" s="15">
        <f>VLOOKUP(Переменные[[#This Row],[DUT id]],ИсходныеДанные,16,FALSE)</f>
        <v>1.25</v>
      </c>
      <c r="AB16" s="15" t="str">
        <f>VLOOKUP(Переменные[[#This Row],[DUT id]],ИсходныеДанные,28,FALSE)</f>
        <v>Соотв.</v>
      </c>
      <c r="AC16" s="15" t="str">
        <f>VLOOKUP(Переменные[[#This Row],[DUT id]],ИсходныеДанные,29,FALSE)</f>
        <v>Симмертично</v>
      </c>
      <c r="AD16" s="15" t="str">
        <f>VLOOKUP(Переменные[[#This Row],[DUT id]],ИсходныеДанные,30,FALSE)</f>
        <v>Соотв.</v>
      </c>
      <c r="AE16" s="15" t="str">
        <f>VLOOKUP(Переменные[[#This Row],[DUT id]],ИсходныеДанные,31,FALSE)</f>
        <v>Заплавлено</v>
      </c>
      <c r="AF16" s="15" t="str">
        <f>VLOOKUP(Переменные[[#This Row],[DUT id]],ИсходныеДанные,32,FALSE)</f>
        <v>Соотв.</v>
      </c>
      <c r="AG16" s="15">
        <f>VLOOKUP(Переменные[[#This Row],[DUT id]],ИсходныеДанные,19,FALSE)</f>
        <v>0.28000000000000003</v>
      </c>
      <c r="AH16" s="15" t="str">
        <f>VLOOKUP(Переменные[[#This Row],[DUT id]],ИсходныеДанные,37,FALSE)</f>
        <v>Соотв.</v>
      </c>
      <c r="AI16" s="15" t="str">
        <f>VLOOKUP(Переменные[[#This Row],[DUT id]],ИсходныеДанные,35,FALSE)</f>
        <v>Загрязнение отсутствует</v>
      </c>
      <c r="AJ16" s="15" t="str">
        <f>VLOOKUP(Переменные[[#This Row],[DUT id]],ИсходныеДанные,36,FALSE)</f>
        <v>Соотв.</v>
      </c>
      <c r="AK16" s="15">
        <f>VLOOKUP(Переменные[[#This Row],[DUT id]],ИсходныеДанные,33,FALSE)</f>
        <v>0</v>
      </c>
      <c r="AL16" s="15" t="str">
        <f>VLOOKUP(Переменные[[#This Row],[DUT id]],ИсходныеДанные,34,FALSE)</f>
        <v>Соотв.</v>
      </c>
      <c r="AM16" s="15">
        <f>VLOOKUP(Переменные[[#This Row],[DUT id]],ИсходныеДанные,24,FALSE)</f>
        <v>10</v>
      </c>
    </row>
    <row r="17" spans="1:39" s="8" customFormat="1" ht="12" thickBot="1" x14ac:dyDescent="0.25">
      <c r="A17" s="17" t="str">
        <f>Переменные[[#This Row],[TestReportID]]</f>
        <v>FM_OQ_02_8_2</v>
      </c>
      <c r="B17" s="8" t="str">
        <f t="shared" si="0"/>
        <v>да</v>
      </c>
      <c r="C17" s="8" t="str">
        <f t="shared" si="1"/>
        <v>Val_2 OQ Test Report template</v>
      </c>
      <c r="D17" s="9">
        <f t="shared" ca="1" si="2"/>
        <v>45807</v>
      </c>
      <c r="E17" s="8" t="str">
        <f t="shared" ca="1" si="3"/>
        <v>2025-05-30</v>
      </c>
      <c r="F17" s="8" t="str">
        <f t="shared" si="4"/>
        <v xml:space="preserve"> ☑  ☐  ☒ </v>
      </c>
      <c r="G17" s="18" t="str">
        <f>"FM_OQ_"&amp;Переменные[[#This Row],[DUT id]]</f>
        <v>FM_OQ_02_8_2</v>
      </c>
      <c r="H17" s="15" t="s">
        <v>58</v>
      </c>
      <c r="I17" s="16">
        <v>45803</v>
      </c>
      <c r="J17" s="15">
        <v>22</v>
      </c>
      <c r="K17" s="15">
        <v>65</v>
      </c>
      <c r="L17" s="15" t="str">
        <f>VLOOKUP(Переменные[[#This Row],[DUT id]],ИсходныеДанные,15,FALSE)</f>
        <v>Щипкова Елена</v>
      </c>
      <c r="M17" s="15" t="s">
        <v>325</v>
      </c>
      <c r="N17" s="15" t="s">
        <v>59</v>
      </c>
      <c r="O17" s="15" t="str">
        <f>VLOOKUP(Переменные[[#This Row],[DUT id]],ИсходныеДанные,4,FALSE)</f>
        <v>SN: 00241</v>
      </c>
      <c r="P17" s="15" t="str">
        <f>VLOOKUP(Переменные[[#This Row],[DUT id]],ИсходныеДанные,3,FALSE)</f>
        <v>LZM-100</v>
      </c>
      <c r="Q17" s="19" t="str">
        <f>VLOOKUP(Переменные[[#This Row],[DUT id]],ИсходныеДанные,5,FALSE)</f>
        <v> SP + 330 bit</v>
      </c>
      <c r="R17" s="19" t="str">
        <f>VLOOKUP(Переменные[[#This Row],[DUT id]],ИсходныеДанные,6,FALSE)</f>
        <v>40ms</v>
      </c>
      <c r="S17" s="19" t="str">
        <f>VLOOKUP(Переменные[[#This Row],[DUT id]],ИсходныеДанные,7,FALSE)</f>
        <v>8000ms</v>
      </c>
      <c r="T17" s="19" t="str">
        <f>VLOOKUP(Переменные[[#This Row],[DUT id]],ИсходныеДанные,8,FALSE)</f>
        <v>  0,145 гр/ms</v>
      </c>
      <c r="U17" s="19">
        <f>VLOOKUP(Переменные[[#This Row],[DUT id]],ИсходныеДанные,9,FALSE)</f>
        <v>0</v>
      </c>
      <c r="V17" s="19" t="str">
        <f>VLOOKUP(Переменные[[#This Row],[DUT id]],ИсходныеДанные,10,FALSE)</f>
        <v>LT_F + 2000 ms</v>
      </c>
      <c r="W17" s="15" t="s">
        <v>66</v>
      </c>
      <c r="X17" s="15" t="s">
        <v>97</v>
      </c>
      <c r="Y17" s="18" t="s">
        <v>98</v>
      </c>
      <c r="Z17" s="18" t="str">
        <f>VLOOKUP(Переменные[[#This Row],[DUT id]],ИсходныеДанные,27,FALSE)</f>
        <v>5,46/0/0/0</v>
      </c>
      <c r="AA17" s="15">
        <f>VLOOKUP(Переменные[[#This Row],[DUT id]],ИсходныеДанные,16,FALSE)</f>
        <v>1.21</v>
      </c>
      <c r="AB17" s="15" t="str">
        <f>VLOOKUP(Переменные[[#This Row],[DUT id]],ИсходныеДанные,28,FALSE)</f>
        <v>Соотв.</v>
      </c>
      <c r="AC17" s="15" t="str">
        <f>VLOOKUP(Переменные[[#This Row],[DUT id]],ИсходныеДанные,29,FALSE)</f>
        <v>Симмертично</v>
      </c>
      <c r="AD17" s="15" t="str">
        <f>VLOOKUP(Переменные[[#This Row],[DUT id]],ИсходныеДанные,30,FALSE)</f>
        <v>Соотв.</v>
      </c>
      <c r="AE17" s="15" t="str">
        <f>VLOOKUP(Переменные[[#This Row],[DUT id]],ИсходныеДанные,31,FALSE)</f>
        <v>Заплавлено</v>
      </c>
      <c r="AF17" s="15" t="str">
        <f>VLOOKUP(Переменные[[#This Row],[DUT id]],ИсходныеДанные,32,FALSE)</f>
        <v>Соотв.</v>
      </c>
      <c r="AG17" s="15">
        <f>VLOOKUP(Переменные[[#This Row],[DUT id]],ИсходныеДанные,19,FALSE)</f>
        <v>0.25</v>
      </c>
      <c r="AH17" s="15" t="str">
        <f>VLOOKUP(Переменные[[#This Row],[DUT id]],ИсходныеДанные,37,FALSE)</f>
        <v>Соотв.</v>
      </c>
      <c r="AI17" s="15" t="str">
        <f>VLOOKUP(Переменные[[#This Row],[DUT id]],ИсходныеДанные,35,FALSE)</f>
        <v>Загрязнение отсутствует</v>
      </c>
      <c r="AJ17" s="15" t="str">
        <f>VLOOKUP(Переменные[[#This Row],[DUT id]],ИсходныеДанные,36,FALSE)</f>
        <v>Соотв.</v>
      </c>
      <c r="AK17" s="15">
        <f>VLOOKUP(Переменные[[#This Row],[DUT id]],ИсходныеДанные,33,FALSE)</f>
        <v>0</v>
      </c>
      <c r="AL17" s="15" t="str">
        <f>VLOOKUP(Переменные[[#This Row],[DUT id]],ИсходныеДанные,34,FALSE)</f>
        <v>Соотв.</v>
      </c>
      <c r="AM17" s="15">
        <f>VLOOKUP(Переменные[[#This Row],[DUT id]],ИсходныеДанные,24,FALSE)</f>
        <v>10</v>
      </c>
    </row>
    <row r="18" spans="1:39" s="8" customFormat="1" ht="12" thickBot="1" x14ac:dyDescent="0.25">
      <c r="A18" s="17" t="str">
        <f>Переменные[[#This Row],[TestReportID]]</f>
        <v>FM_OQ_02_8_3</v>
      </c>
      <c r="B18" s="8" t="str">
        <f t="shared" si="0"/>
        <v>да</v>
      </c>
      <c r="C18" s="8" t="str">
        <f t="shared" si="1"/>
        <v>Val_2 OQ Test Report template</v>
      </c>
      <c r="D18" s="9">
        <f t="shared" ca="1" si="2"/>
        <v>45807</v>
      </c>
      <c r="E18" s="8" t="str">
        <f t="shared" ca="1" si="3"/>
        <v>2025-05-30</v>
      </c>
      <c r="F18" s="8" t="str">
        <f t="shared" si="4"/>
        <v xml:space="preserve"> ☑  ☐  ☒ </v>
      </c>
      <c r="G18" s="18" t="str">
        <f>"FM_OQ_"&amp;Переменные[[#This Row],[DUT id]]</f>
        <v>FM_OQ_02_8_3</v>
      </c>
      <c r="H18" s="15" t="s">
        <v>58</v>
      </c>
      <c r="I18" s="16">
        <v>45803</v>
      </c>
      <c r="J18" s="15">
        <v>22</v>
      </c>
      <c r="K18" s="15">
        <v>65</v>
      </c>
      <c r="L18" s="15" t="str">
        <f>VLOOKUP(Переменные[[#This Row],[DUT id]],ИсходныеДанные,15,FALSE)</f>
        <v>Щипкова Елена</v>
      </c>
      <c r="M18" s="15" t="s">
        <v>325</v>
      </c>
      <c r="N18" s="15" t="s">
        <v>59</v>
      </c>
      <c r="O18" s="15" t="str">
        <f>VLOOKUP(Переменные[[#This Row],[DUT id]],ИсходныеДанные,4,FALSE)</f>
        <v>SN: 00241</v>
      </c>
      <c r="P18" s="15" t="str">
        <f>VLOOKUP(Переменные[[#This Row],[DUT id]],ИсходныеДанные,3,FALSE)</f>
        <v>LZM-100</v>
      </c>
      <c r="Q18" s="19" t="str">
        <f>VLOOKUP(Переменные[[#This Row],[DUT id]],ИсходныеДанные,5,FALSE)</f>
        <v> SP + 330 bit</v>
      </c>
      <c r="R18" s="19" t="str">
        <f>VLOOKUP(Переменные[[#This Row],[DUT id]],ИсходныеДанные,6,FALSE)</f>
        <v>40ms</v>
      </c>
      <c r="S18" s="19" t="str">
        <f>VLOOKUP(Переменные[[#This Row],[DUT id]],ИсходныеДанные,7,FALSE)</f>
        <v>8000ms</v>
      </c>
      <c r="T18" s="19" t="str">
        <f>VLOOKUP(Переменные[[#This Row],[DUT id]],ИсходныеДанные,8,FALSE)</f>
        <v>  0,145 гр/ms</v>
      </c>
      <c r="U18" s="19">
        <f>VLOOKUP(Переменные[[#This Row],[DUT id]],ИсходныеДанные,9,FALSE)</f>
        <v>0</v>
      </c>
      <c r="V18" s="19" t="str">
        <f>VLOOKUP(Переменные[[#This Row],[DUT id]],ИсходныеДанные,10,FALSE)</f>
        <v>LT_F + 2000 ms</v>
      </c>
      <c r="W18" s="15" t="s">
        <v>66</v>
      </c>
      <c r="X18" s="15" t="s">
        <v>99</v>
      </c>
      <c r="Y18" s="18" t="s">
        <v>100</v>
      </c>
      <c r="Z18" s="18" t="str">
        <f>VLOOKUP(Переменные[[#This Row],[DUT id]],ИсходныеДанные,27,FALSE)</f>
        <v>5,09/0/0/0</v>
      </c>
      <c r="AA18" s="15">
        <f>VLOOKUP(Переменные[[#This Row],[DUT id]],ИсходныеДанные,16,FALSE)</f>
        <v>1.22</v>
      </c>
      <c r="AB18" s="15" t="str">
        <f>VLOOKUP(Переменные[[#This Row],[DUT id]],ИсходныеДанные,28,FALSE)</f>
        <v>Соотв.</v>
      </c>
      <c r="AC18" s="15" t="str">
        <f>VLOOKUP(Переменные[[#This Row],[DUT id]],ИсходныеДанные,29,FALSE)</f>
        <v>Симмертично</v>
      </c>
      <c r="AD18" s="15" t="str">
        <f>VLOOKUP(Переменные[[#This Row],[DUT id]],ИсходныеДанные,30,FALSE)</f>
        <v>Соотв.</v>
      </c>
      <c r="AE18" s="15" t="str">
        <f>VLOOKUP(Переменные[[#This Row],[DUT id]],ИсходныеДанные,31,FALSE)</f>
        <v>Заплавлено</v>
      </c>
      <c r="AF18" s="15" t="str">
        <f>VLOOKUP(Переменные[[#This Row],[DUT id]],ИсходныеДанные,32,FALSE)</f>
        <v>Соотв.</v>
      </c>
      <c r="AG18" s="15">
        <f>VLOOKUP(Переменные[[#This Row],[DUT id]],ИсходныеДанные,19,FALSE)</f>
        <v>0.24</v>
      </c>
      <c r="AH18" s="15" t="str">
        <f>VLOOKUP(Переменные[[#This Row],[DUT id]],ИсходныеДанные,37,FALSE)</f>
        <v>Соотв.</v>
      </c>
      <c r="AI18" s="15" t="str">
        <f>VLOOKUP(Переменные[[#This Row],[DUT id]],ИсходныеДанные,35,FALSE)</f>
        <v>Загрязнение отсутствует</v>
      </c>
      <c r="AJ18" s="15" t="str">
        <f>VLOOKUP(Переменные[[#This Row],[DUT id]],ИсходныеДанные,36,FALSE)</f>
        <v>Соотв.</v>
      </c>
      <c r="AK18" s="15">
        <f>VLOOKUP(Переменные[[#This Row],[DUT id]],ИсходныеДанные,33,FALSE)</f>
        <v>0</v>
      </c>
      <c r="AL18" s="15" t="str">
        <f>VLOOKUP(Переменные[[#This Row],[DUT id]],ИсходныеДанные,34,FALSE)</f>
        <v>Соотв.</v>
      </c>
      <c r="AM18" s="15">
        <f>VLOOKUP(Переменные[[#This Row],[DUT id]],ИсходныеДанные,24,FALSE)</f>
        <v>9</v>
      </c>
    </row>
    <row r="19" spans="1:39" s="8" customFormat="1" ht="12" thickBot="1" x14ac:dyDescent="0.25">
      <c r="A19" s="17" t="str">
        <f>Переменные[[#This Row],[TestReportID]]</f>
        <v>FM_OQ_02_4_1</v>
      </c>
      <c r="B19" s="8" t="str">
        <f t="shared" si="0"/>
        <v>да</v>
      </c>
      <c r="C19" s="8" t="str">
        <f t="shared" si="1"/>
        <v>Val_2 OQ Test Report template</v>
      </c>
      <c r="D19" s="9">
        <f t="shared" ca="1" si="2"/>
        <v>45807</v>
      </c>
      <c r="E19" s="8" t="str">
        <f t="shared" ca="1" si="3"/>
        <v>2025-05-30</v>
      </c>
      <c r="F19" s="8" t="str">
        <f t="shared" si="4"/>
        <v xml:space="preserve"> ☑  ☐  ☒ </v>
      </c>
      <c r="G19" s="18" t="str">
        <f>"FM_OQ_"&amp;Переменные[[#This Row],[DUT id]]</f>
        <v>FM_OQ_02_4_1</v>
      </c>
      <c r="H19" s="15" t="s">
        <v>58</v>
      </c>
      <c r="I19" s="16">
        <v>45803</v>
      </c>
      <c r="J19" s="15">
        <v>22</v>
      </c>
      <c r="K19" s="15">
        <v>65</v>
      </c>
      <c r="L19" s="15" t="str">
        <f>VLOOKUP(Переменные[[#This Row],[DUT id]],ИсходныеДанные,15,FALSE)</f>
        <v>Щипкова Елена</v>
      </c>
      <c r="M19" s="15" t="s">
        <v>325</v>
      </c>
      <c r="N19" s="15" t="s">
        <v>59</v>
      </c>
      <c r="O19" s="15" t="str">
        <f>VLOOKUP(Переменные[[#This Row],[DUT id]],ИсходныеДанные,4,FALSE)</f>
        <v>SN: 00241</v>
      </c>
      <c r="P19" s="15" t="str">
        <f>VLOOKUP(Переменные[[#This Row],[DUT id]],ИсходныеДанные,3,FALSE)</f>
        <v>LZM-100</v>
      </c>
      <c r="Q19" s="19" t="str">
        <f>VLOOKUP(Переменные[[#This Row],[DUT id]],ИсходныеДанные,5,FALSE)</f>
        <v> SP + 330 bit</v>
      </c>
      <c r="R19" s="19" t="str">
        <f>VLOOKUP(Переменные[[#This Row],[DUT id]],ИсходныеДанные,6,FALSE)</f>
        <v>40ms</v>
      </c>
      <c r="S19" s="19" t="str">
        <f>VLOOKUP(Переменные[[#This Row],[DUT id]],ИсходныеДанные,7,FALSE)</f>
        <v>6000ms</v>
      </c>
      <c r="T19" s="19" t="str">
        <f>VLOOKUP(Переменные[[#This Row],[DUT id]],ИсходныеДанные,8,FALSE)</f>
        <v>  0,145 гр/ms</v>
      </c>
      <c r="U19" s="19">
        <f>VLOOKUP(Переменные[[#This Row],[DUT id]],ИсходныеДанные,9,FALSE)</f>
        <v>0</v>
      </c>
      <c r="V19" s="19" t="str">
        <f>VLOOKUP(Переменные[[#This Row],[DUT id]],ИсходныеДанные,10,FALSE)</f>
        <v>LT_F + 1000 ms</v>
      </c>
      <c r="W19" s="15" t="s">
        <v>66</v>
      </c>
      <c r="X19" s="15" t="s">
        <v>101</v>
      </c>
      <c r="Y19" s="18" t="s">
        <v>102</v>
      </c>
      <c r="Z19" s="18" t="str">
        <f>VLOOKUP(Переменные[[#This Row],[DUT id]],ИсходныеДанные,27,FALSE)</f>
        <v>5,6/0/0/0</v>
      </c>
      <c r="AA19" s="15">
        <f>VLOOKUP(Переменные[[#This Row],[DUT id]],ИсходныеДанные,16,FALSE)</f>
        <v>1.27</v>
      </c>
      <c r="AB19" s="15" t="str">
        <f>VLOOKUP(Переменные[[#This Row],[DUT id]],ИсходныеДанные,28,FALSE)</f>
        <v>Не соотв.</v>
      </c>
      <c r="AC19" s="15" t="str">
        <f>VLOOKUP(Переменные[[#This Row],[DUT id]],ИсходныеДанные,29,FALSE)</f>
        <v>Симмертично</v>
      </c>
      <c r="AD19" s="15" t="str">
        <f>VLOOKUP(Переменные[[#This Row],[DUT id]],ИсходныеДанные,30,FALSE)</f>
        <v>Соотв.</v>
      </c>
      <c r="AE19" s="15" t="str">
        <f>VLOOKUP(Переменные[[#This Row],[DUT id]],ИсходныеДанные,31,FALSE)</f>
        <v>Заплавлено</v>
      </c>
      <c r="AF19" s="15" t="str">
        <f>VLOOKUP(Переменные[[#This Row],[DUT id]],ИсходныеДанные,32,FALSE)</f>
        <v>Соотв.</v>
      </c>
      <c r="AG19" s="15">
        <f>VLOOKUP(Переменные[[#This Row],[DUT id]],ИсходныеДанные,19,FALSE)</f>
        <v>0.21</v>
      </c>
      <c r="AH19" s="15" t="str">
        <f>VLOOKUP(Переменные[[#This Row],[DUT id]],ИсходныеДанные,37,FALSE)</f>
        <v>Соотв.</v>
      </c>
      <c r="AI19" s="15" t="str">
        <f>VLOOKUP(Переменные[[#This Row],[DUT id]],ИсходныеДанные,35,FALSE)</f>
        <v>Загрязнение отсутствует</v>
      </c>
      <c r="AJ19" s="15" t="str">
        <f>VLOOKUP(Переменные[[#This Row],[DUT id]],ИсходныеДанные,36,FALSE)</f>
        <v>Соотв.</v>
      </c>
      <c r="AK19" s="15">
        <f>VLOOKUP(Переменные[[#This Row],[DUT id]],ИсходныеДанные,33,FALSE)</f>
        <v>0</v>
      </c>
      <c r="AL19" s="15" t="str">
        <f>VLOOKUP(Переменные[[#This Row],[DUT id]],ИсходныеДанные,34,FALSE)</f>
        <v>Соотв.</v>
      </c>
      <c r="AM19" s="15">
        <f>VLOOKUP(Переменные[[#This Row],[DUT id]],ИсходныеДанные,24,FALSE)</f>
        <v>7</v>
      </c>
    </row>
    <row r="20" spans="1:39" s="8" customFormat="1" ht="12" customHeight="1" thickBot="1" x14ac:dyDescent="0.25">
      <c r="A20" s="17" t="str">
        <f>Переменные[[#This Row],[TestReportID]]</f>
        <v>FM_OQ_02_4_2</v>
      </c>
      <c r="B20" s="8" t="str">
        <f t="shared" si="0"/>
        <v>да</v>
      </c>
      <c r="C20" s="8" t="str">
        <f t="shared" si="1"/>
        <v>Val_2 OQ Test Report template</v>
      </c>
      <c r="D20" s="9">
        <f t="shared" ca="1" si="2"/>
        <v>45807</v>
      </c>
      <c r="E20" s="8" t="str">
        <f t="shared" ca="1" si="3"/>
        <v>2025-05-30</v>
      </c>
      <c r="F20" s="8" t="str">
        <f t="shared" si="4"/>
        <v xml:space="preserve"> ☑  ☐  ☒ </v>
      </c>
      <c r="G20" s="18" t="str">
        <f>"FM_OQ_"&amp;Переменные[[#This Row],[DUT id]]</f>
        <v>FM_OQ_02_4_2</v>
      </c>
      <c r="H20" s="15" t="s">
        <v>58</v>
      </c>
      <c r="I20" s="16">
        <v>45803</v>
      </c>
      <c r="J20" s="15">
        <v>22</v>
      </c>
      <c r="K20" s="15">
        <v>65</v>
      </c>
      <c r="L20" s="15" t="str">
        <f>VLOOKUP(Переменные[[#This Row],[DUT id]],ИсходныеДанные,15,FALSE)</f>
        <v>Щипкова Елена</v>
      </c>
      <c r="M20" s="15" t="s">
        <v>325</v>
      </c>
      <c r="N20" s="15" t="s">
        <v>59</v>
      </c>
      <c r="O20" s="15" t="str">
        <f>VLOOKUP(Переменные[[#This Row],[DUT id]],ИсходныеДанные,4,FALSE)</f>
        <v>SN: 00241</v>
      </c>
      <c r="P20" s="15" t="str">
        <f>VLOOKUP(Переменные[[#This Row],[DUT id]],ИсходныеДанные,3,FALSE)</f>
        <v>LZM-100</v>
      </c>
      <c r="Q20" s="19" t="str">
        <f>VLOOKUP(Переменные[[#This Row],[DUT id]],ИсходныеДанные,5,FALSE)</f>
        <v> SP + 330 bit</v>
      </c>
      <c r="R20" s="19" t="str">
        <f>VLOOKUP(Переменные[[#This Row],[DUT id]],ИсходныеДанные,6,FALSE)</f>
        <v>40ms</v>
      </c>
      <c r="S20" s="19" t="str">
        <f>VLOOKUP(Переменные[[#This Row],[DUT id]],ИсходныеДанные,7,FALSE)</f>
        <v>6000ms</v>
      </c>
      <c r="T20" s="19" t="str">
        <f>VLOOKUP(Переменные[[#This Row],[DUT id]],ИсходныеДанные,8,FALSE)</f>
        <v>  0,145 гр/ms</v>
      </c>
      <c r="U20" s="19">
        <f>VLOOKUP(Переменные[[#This Row],[DUT id]],ИсходныеДанные,9,FALSE)</f>
        <v>0</v>
      </c>
      <c r="V20" s="19" t="str">
        <f>VLOOKUP(Переменные[[#This Row],[DUT id]],ИсходныеДанные,10,FALSE)</f>
        <v>LT_F + 1000 ms</v>
      </c>
      <c r="W20" s="15" t="s">
        <v>66</v>
      </c>
      <c r="X20" s="15" t="s">
        <v>103</v>
      </c>
      <c r="Y20" s="18" t="s">
        <v>104</v>
      </c>
      <c r="Z20" s="18" t="str">
        <f>VLOOKUP(Переменные[[#This Row],[DUT id]],ИсходныеДанные,27,FALSE)</f>
        <v>5,61/4,87/0/0</v>
      </c>
      <c r="AA20" s="15">
        <f>VLOOKUP(Переменные[[#This Row],[DUT id]],ИсходныеДанные,16,FALSE)</f>
        <v>1.22</v>
      </c>
      <c r="AB20" s="15" t="str">
        <f>VLOOKUP(Переменные[[#This Row],[DUT id]],ИсходныеДанные,28,FALSE)</f>
        <v>Соотв.</v>
      </c>
      <c r="AC20" s="15" t="str">
        <f>VLOOKUP(Переменные[[#This Row],[DUT id]],ИсходныеДанные,29,FALSE)</f>
        <v>Симмертично</v>
      </c>
      <c r="AD20" s="15" t="str">
        <f>VLOOKUP(Переменные[[#This Row],[DUT id]],ИсходныеДанные,30,FALSE)</f>
        <v>Соотв.</v>
      </c>
      <c r="AE20" s="15" t="str">
        <f>VLOOKUP(Переменные[[#This Row],[DUT id]],ИсходныеДанные,31,FALSE)</f>
        <v>Заплавлено</v>
      </c>
      <c r="AF20" s="15" t="str">
        <f>VLOOKUP(Переменные[[#This Row],[DUT id]],ИсходныеДанные,32,FALSE)</f>
        <v>Соотв.</v>
      </c>
      <c r="AG20" s="15">
        <f>VLOOKUP(Переменные[[#This Row],[DUT id]],ИсходныеДанные,19,FALSE)</f>
        <v>0.14000000000000001</v>
      </c>
      <c r="AH20" s="15" t="str">
        <f>VLOOKUP(Переменные[[#This Row],[DUT id]],ИсходныеДанные,37,FALSE)</f>
        <v>Соотв.</v>
      </c>
      <c r="AI20" s="15" t="str">
        <f>VLOOKUP(Переменные[[#This Row],[DUT id]],ИсходныеДанные,35,FALSE)</f>
        <v>Загрязнение отсутствует</v>
      </c>
      <c r="AJ20" s="15" t="str">
        <f>VLOOKUP(Переменные[[#This Row],[DUT id]],ИсходныеДанные,36,FALSE)</f>
        <v>Соотв.</v>
      </c>
      <c r="AK20" s="15">
        <f>VLOOKUP(Переменные[[#This Row],[DUT id]],ИсходныеДанные,33,FALSE)</f>
        <v>1</v>
      </c>
      <c r="AL20" s="15" t="str">
        <f>VLOOKUP(Переменные[[#This Row],[DUT id]],ИсходныеДанные,34,FALSE)</f>
        <v>Соотв.</v>
      </c>
      <c r="AM20" s="15">
        <f>VLOOKUP(Переменные[[#This Row],[DUT id]],ИсходныеДанные,24,FALSE)</f>
        <v>8</v>
      </c>
    </row>
    <row r="21" spans="1:39" s="8" customFormat="1" ht="12" customHeight="1" thickBot="1" x14ac:dyDescent="0.25">
      <c r="A21" s="17" t="str">
        <f>Переменные[[#This Row],[TestReportID]]</f>
        <v>FM_OQ_02_4_3</v>
      </c>
      <c r="B21" s="8" t="str">
        <f t="shared" si="0"/>
        <v>да</v>
      </c>
      <c r="C21" s="8" t="str">
        <f t="shared" si="1"/>
        <v>Val_2 OQ Test Report template</v>
      </c>
      <c r="D21" s="9">
        <f t="shared" ca="1" si="2"/>
        <v>45807</v>
      </c>
      <c r="E21" s="8" t="str">
        <f t="shared" ca="1" si="3"/>
        <v>2025-05-30</v>
      </c>
      <c r="F21" s="8" t="str">
        <f t="shared" si="4"/>
        <v xml:space="preserve"> ☑  ☐  ☒ </v>
      </c>
      <c r="G21" s="18" t="str">
        <f>"FM_OQ_"&amp;Переменные[[#This Row],[DUT id]]</f>
        <v>FM_OQ_02_4_3</v>
      </c>
      <c r="H21" s="15" t="s">
        <v>58</v>
      </c>
      <c r="I21" s="16">
        <v>45803</v>
      </c>
      <c r="J21" s="15">
        <v>22</v>
      </c>
      <c r="K21" s="15">
        <v>65</v>
      </c>
      <c r="L21" s="15" t="str">
        <f>VLOOKUP(Переменные[[#This Row],[DUT id]],ИсходныеДанные,15,FALSE)</f>
        <v>Щипкова Елена</v>
      </c>
      <c r="M21" s="15" t="s">
        <v>325</v>
      </c>
      <c r="N21" s="15" t="s">
        <v>59</v>
      </c>
      <c r="O21" s="15" t="str">
        <f>VLOOKUP(Переменные[[#This Row],[DUT id]],ИсходныеДанные,4,FALSE)</f>
        <v>SN: 00241</v>
      </c>
      <c r="P21" s="15" t="str">
        <f>VLOOKUP(Переменные[[#This Row],[DUT id]],ИсходныеДанные,3,FALSE)</f>
        <v>LZM-100</v>
      </c>
      <c r="Q21" s="19" t="str">
        <f>VLOOKUP(Переменные[[#This Row],[DUT id]],ИсходныеДанные,5,FALSE)</f>
        <v> SP + 330 bit</v>
      </c>
      <c r="R21" s="19" t="str">
        <f>VLOOKUP(Переменные[[#This Row],[DUT id]],ИсходныеДанные,6,FALSE)</f>
        <v>40ms</v>
      </c>
      <c r="S21" s="19" t="str">
        <f>VLOOKUP(Переменные[[#This Row],[DUT id]],ИсходныеДанные,7,FALSE)</f>
        <v>6000ms</v>
      </c>
      <c r="T21" s="19" t="str">
        <f>VLOOKUP(Переменные[[#This Row],[DUT id]],ИсходныеДанные,8,FALSE)</f>
        <v>  0,145 гр/ms</v>
      </c>
      <c r="U21" s="19">
        <f>VLOOKUP(Переменные[[#This Row],[DUT id]],ИсходныеДанные,9,FALSE)</f>
        <v>0</v>
      </c>
      <c r="V21" s="19" t="str">
        <f>VLOOKUP(Переменные[[#This Row],[DUT id]],ИсходныеДанные,10,FALSE)</f>
        <v>LT_F + 1000 ms</v>
      </c>
      <c r="W21" s="15" t="s">
        <v>66</v>
      </c>
      <c r="X21" s="15" t="s">
        <v>105</v>
      </c>
      <c r="Y21" s="18" t="s">
        <v>106</v>
      </c>
      <c r="Z21" s="18" t="str">
        <f>VLOOKUP(Переменные[[#This Row],[DUT id]],ИсходныеДанные,27,FALSE)</f>
        <v>5,78/0/0/0</v>
      </c>
      <c r="AA21" s="15">
        <f>VLOOKUP(Переменные[[#This Row],[DUT id]],ИсходныеДанные,16,FALSE)</f>
        <v>1.24</v>
      </c>
      <c r="AB21" s="15" t="str">
        <f>VLOOKUP(Переменные[[#This Row],[DUT id]],ИсходныеДанные,28,FALSE)</f>
        <v>Соотв.</v>
      </c>
      <c r="AC21" s="15" t="str">
        <f>VLOOKUP(Переменные[[#This Row],[DUT id]],ИсходныеДанные,29,FALSE)</f>
        <v>Симмертично</v>
      </c>
      <c r="AD21" s="15" t="str">
        <f>VLOOKUP(Переменные[[#This Row],[DUT id]],ИсходныеДанные,30,FALSE)</f>
        <v>Соотв.</v>
      </c>
      <c r="AE21" s="15" t="str">
        <f>VLOOKUP(Переменные[[#This Row],[DUT id]],ИсходныеДанные,31,FALSE)</f>
        <v>Заплавлено</v>
      </c>
      <c r="AF21" s="15" t="str">
        <f>VLOOKUP(Переменные[[#This Row],[DUT id]],ИсходныеДанные,32,FALSE)</f>
        <v>Соотв.</v>
      </c>
      <c r="AG21" s="15">
        <f>VLOOKUP(Переменные[[#This Row],[DUT id]],ИсходныеДанные,19,FALSE)</f>
        <v>0.26</v>
      </c>
      <c r="AH21" s="15" t="str">
        <f>VLOOKUP(Переменные[[#This Row],[DUT id]],ИсходныеДанные,37,FALSE)</f>
        <v>Соотв.</v>
      </c>
      <c r="AI21" s="15" t="str">
        <f>VLOOKUP(Переменные[[#This Row],[DUT id]],ИсходныеДанные,35,FALSE)</f>
        <v>Загрязнение отсутствует</v>
      </c>
      <c r="AJ21" s="15" t="str">
        <f>VLOOKUP(Переменные[[#This Row],[DUT id]],ИсходныеДанные,36,FALSE)</f>
        <v>Соотв.</v>
      </c>
      <c r="AK21" s="15">
        <f>VLOOKUP(Переменные[[#This Row],[DUT id]],ИсходныеДанные,33,FALSE)</f>
        <v>0</v>
      </c>
      <c r="AL21" s="15" t="str">
        <f>VLOOKUP(Переменные[[#This Row],[DUT id]],ИсходныеДанные,34,FALSE)</f>
        <v>Соотв.</v>
      </c>
      <c r="AM21" s="15">
        <f>VLOOKUP(Переменные[[#This Row],[DUT id]],ИсходныеДанные,24,FALSE)</f>
        <v>9</v>
      </c>
    </row>
    <row r="22" spans="1:39" s="8" customFormat="1" ht="12" customHeight="1" thickBot="1" x14ac:dyDescent="0.25">
      <c r="A22" s="17" t="str">
        <f>Переменные[[#This Row],[TestReportID]]</f>
        <v>FM_OQ_02_1_1</v>
      </c>
      <c r="B22" s="8" t="str">
        <f t="shared" si="0"/>
        <v>да</v>
      </c>
      <c r="C22" s="8" t="str">
        <f t="shared" si="1"/>
        <v>Val_2 OQ Test Report template</v>
      </c>
      <c r="D22" s="9">
        <f t="shared" ca="1" si="2"/>
        <v>45807</v>
      </c>
      <c r="E22" s="8" t="str">
        <f t="shared" ca="1" si="3"/>
        <v>2025-05-30</v>
      </c>
      <c r="F22" s="8" t="str">
        <f t="shared" si="4"/>
        <v xml:space="preserve"> ☑  ☐  ☒ </v>
      </c>
      <c r="G22" s="18" t="str">
        <f>"FM_OQ_"&amp;Переменные[[#This Row],[DUT id]]</f>
        <v>FM_OQ_02_1_1</v>
      </c>
      <c r="H22" s="15" t="s">
        <v>58</v>
      </c>
      <c r="I22" s="16">
        <v>45803</v>
      </c>
      <c r="J22" s="15">
        <v>22</v>
      </c>
      <c r="K22" s="15">
        <v>65</v>
      </c>
      <c r="L22" s="15" t="str">
        <f>VLOOKUP(Переменные[[#This Row],[DUT id]],ИсходныеДанные,15,FALSE)</f>
        <v>Щипкова Елена</v>
      </c>
      <c r="M22" s="15" t="s">
        <v>325</v>
      </c>
      <c r="N22" s="15" t="s">
        <v>59</v>
      </c>
      <c r="O22" s="15" t="str">
        <f>VLOOKUP(Переменные[[#This Row],[DUT id]],ИсходныеДанные,4,FALSE)</f>
        <v>SN: 00241</v>
      </c>
      <c r="P22" s="15" t="str">
        <f>VLOOKUP(Переменные[[#This Row],[DUT id]],ИсходныеДанные,3,FALSE)</f>
        <v>LZM-100</v>
      </c>
      <c r="Q22" s="19" t="str">
        <f>VLOOKUP(Переменные[[#This Row],[DUT id]],ИсходныеДанные,5,FALSE)</f>
        <v>SP + 290 bit</v>
      </c>
      <c r="R22" s="19" t="str">
        <f>VLOOKUP(Переменные[[#This Row],[DUT id]],ИсходныеДанные,6,FALSE)</f>
        <v>30ms</v>
      </c>
      <c r="S22" s="19" t="str">
        <f>VLOOKUP(Переменные[[#This Row],[DUT id]],ИсходныеДанные,7,FALSE)</f>
        <v>6000ms</v>
      </c>
      <c r="T22" s="19" t="str">
        <f>VLOOKUP(Переменные[[#This Row],[DUT id]],ИсходныеДанные,8,FALSE)</f>
        <v>  0,145 гр/ms</v>
      </c>
      <c r="U22" s="19">
        <f>VLOOKUP(Переменные[[#This Row],[DUT id]],ИсходныеДанные,9,FALSE)</f>
        <v>0</v>
      </c>
      <c r="V22" s="19" t="str">
        <f>VLOOKUP(Переменные[[#This Row],[DUT id]],ИсходныеДанные,10,FALSE)</f>
        <v>LT_F + 2000 ms</v>
      </c>
      <c r="W22" s="15" t="s">
        <v>66</v>
      </c>
      <c r="X22" s="15" t="s">
        <v>107</v>
      </c>
      <c r="Y22" s="18" t="s">
        <v>108</v>
      </c>
      <c r="Z22" s="18" t="str">
        <f>VLOOKUP(Переменные[[#This Row],[DUT id]],ИсходныеДанные,27,FALSE)</f>
        <v>5,62/0/0/0</v>
      </c>
      <c r="AA22" s="15">
        <f>VLOOKUP(Переменные[[#This Row],[DUT id]],ИсходныеДанные,16,FALSE)</f>
        <v>1.22</v>
      </c>
      <c r="AB22" s="15" t="str">
        <f>VLOOKUP(Переменные[[#This Row],[DUT id]],ИсходныеДанные,28,FALSE)</f>
        <v>Соотв.</v>
      </c>
      <c r="AC22" s="15" t="str">
        <f>VLOOKUP(Переменные[[#This Row],[DUT id]],ИсходныеДанные,29,FALSE)</f>
        <v>Симмертично</v>
      </c>
      <c r="AD22" s="15" t="str">
        <f>VLOOKUP(Переменные[[#This Row],[DUT id]],ИсходныеДанные,30,FALSE)</f>
        <v>Соотв.</v>
      </c>
      <c r="AE22" s="15" t="str">
        <f>VLOOKUP(Переменные[[#This Row],[DUT id]],ИсходныеДанные,31,FALSE)</f>
        <v>Заплавлено</v>
      </c>
      <c r="AF22" s="15" t="str">
        <f>VLOOKUP(Переменные[[#This Row],[DUT id]],ИсходныеДанные,32,FALSE)</f>
        <v>Соотв.</v>
      </c>
      <c r="AG22" s="15">
        <f>VLOOKUP(Переменные[[#This Row],[DUT id]],ИсходныеДанные,19,FALSE)</f>
        <v>0.23</v>
      </c>
      <c r="AH22" s="15" t="str">
        <f>VLOOKUP(Переменные[[#This Row],[DUT id]],ИсходныеДанные,37,FALSE)</f>
        <v>Соотв.</v>
      </c>
      <c r="AI22" s="15" t="str">
        <f>VLOOKUP(Переменные[[#This Row],[DUT id]],ИсходныеДанные,35,FALSE)</f>
        <v>Загрязнение отсутствует</v>
      </c>
      <c r="AJ22" s="15" t="str">
        <f>VLOOKUP(Переменные[[#This Row],[DUT id]],ИсходныеДанные,36,FALSE)</f>
        <v>Соотв.</v>
      </c>
      <c r="AK22" s="15">
        <f>VLOOKUP(Переменные[[#This Row],[DUT id]],ИсходныеДанные,33,FALSE)</f>
        <v>0</v>
      </c>
      <c r="AL22" s="15" t="str">
        <f>VLOOKUP(Переменные[[#This Row],[DUT id]],ИсходныеДанные,34,FALSE)</f>
        <v>Соотв.</v>
      </c>
      <c r="AM22" s="15">
        <f>VLOOKUP(Переменные[[#This Row],[DUT id]],ИсходныеДанные,24,FALSE)</f>
        <v>10</v>
      </c>
    </row>
    <row r="23" spans="1:39" s="8" customFormat="1" ht="12" customHeight="1" thickBot="1" x14ac:dyDescent="0.25">
      <c r="A23" s="17" t="str">
        <f>Переменные[[#This Row],[TestReportID]]</f>
        <v>FM_OQ_02_1_2</v>
      </c>
      <c r="B23" s="8" t="str">
        <f t="shared" si="0"/>
        <v>да</v>
      </c>
      <c r="C23" s="8" t="str">
        <f t="shared" si="1"/>
        <v>Val_2 OQ Test Report template</v>
      </c>
      <c r="D23" s="9">
        <f t="shared" ca="1" si="2"/>
        <v>45807</v>
      </c>
      <c r="E23" s="8" t="str">
        <f t="shared" ca="1" si="3"/>
        <v>2025-05-30</v>
      </c>
      <c r="F23" s="8" t="str">
        <f t="shared" si="4"/>
        <v xml:space="preserve"> ☑  ☐  ☒ </v>
      </c>
      <c r="G23" s="18" t="str">
        <f>"FM_OQ_"&amp;Переменные[[#This Row],[DUT id]]</f>
        <v>FM_OQ_02_1_2</v>
      </c>
      <c r="H23" s="15" t="s">
        <v>58</v>
      </c>
      <c r="I23" s="16">
        <v>45803</v>
      </c>
      <c r="J23" s="15">
        <v>22</v>
      </c>
      <c r="K23" s="15">
        <v>65</v>
      </c>
      <c r="L23" s="15" t="str">
        <f>VLOOKUP(Переменные[[#This Row],[DUT id]],ИсходныеДанные,15,FALSE)</f>
        <v>Щипкова Елена</v>
      </c>
      <c r="M23" s="15" t="s">
        <v>325</v>
      </c>
      <c r="N23" s="15" t="s">
        <v>59</v>
      </c>
      <c r="O23" s="15" t="str">
        <f>VLOOKUP(Переменные[[#This Row],[DUT id]],ИсходныеДанные,4,FALSE)</f>
        <v>SN: 00241</v>
      </c>
      <c r="P23" s="15" t="str">
        <f>VLOOKUP(Переменные[[#This Row],[DUT id]],ИсходныеДанные,3,FALSE)</f>
        <v>LZM-100</v>
      </c>
      <c r="Q23" s="19" t="str">
        <f>VLOOKUP(Переменные[[#This Row],[DUT id]],ИсходныеДанные,5,FALSE)</f>
        <v>SP + 290 bit</v>
      </c>
      <c r="R23" s="19" t="str">
        <f>VLOOKUP(Переменные[[#This Row],[DUT id]],ИсходныеДанные,6,FALSE)</f>
        <v>30ms</v>
      </c>
      <c r="S23" s="19" t="str">
        <f>VLOOKUP(Переменные[[#This Row],[DUT id]],ИсходныеДанные,7,FALSE)</f>
        <v>6000ms</v>
      </c>
      <c r="T23" s="19" t="str">
        <f>VLOOKUP(Переменные[[#This Row],[DUT id]],ИсходныеДанные,8,FALSE)</f>
        <v>  0,145 гр/ms</v>
      </c>
      <c r="U23" s="19">
        <f>VLOOKUP(Переменные[[#This Row],[DUT id]],ИсходныеДанные,9,FALSE)</f>
        <v>0</v>
      </c>
      <c r="V23" s="19" t="str">
        <f>VLOOKUP(Переменные[[#This Row],[DUT id]],ИсходныеДанные,10,FALSE)</f>
        <v>LT_F + 2000 ms</v>
      </c>
      <c r="W23" s="15" t="s">
        <v>66</v>
      </c>
      <c r="X23" s="15" t="s">
        <v>109</v>
      </c>
      <c r="Y23" s="18" t="s">
        <v>110</v>
      </c>
      <c r="Z23" s="18" t="str">
        <f>VLOOKUP(Переменные[[#This Row],[DUT id]],ИсходныеДанные,27,FALSE)</f>
        <v>5,84/0/0/0</v>
      </c>
      <c r="AA23" s="15">
        <f>VLOOKUP(Переменные[[#This Row],[DUT id]],ИсходныеДанные,16,FALSE)</f>
        <v>1.1599999999999999</v>
      </c>
      <c r="AB23" s="15" t="str">
        <f>VLOOKUP(Переменные[[#This Row],[DUT id]],ИсходныеДанные,28,FALSE)</f>
        <v>Соотв.</v>
      </c>
      <c r="AC23" s="15" t="str">
        <f>VLOOKUP(Переменные[[#This Row],[DUT id]],ИсходныеДанные,29,FALSE)</f>
        <v>Симмертично</v>
      </c>
      <c r="AD23" s="15" t="str">
        <f>VLOOKUP(Переменные[[#This Row],[DUT id]],ИсходныеДанные,30,FALSE)</f>
        <v>Соотв.</v>
      </c>
      <c r="AE23" s="15" t="str">
        <f>VLOOKUP(Переменные[[#This Row],[DUT id]],ИсходныеДанные,31,FALSE)</f>
        <v>Заплавлено</v>
      </c>
      <c r="AF23" s="15" t="str">
        <f>VLOOKUP(Переменные[[#This Row],[DUT id]],ИсходныеДанные,32,FALSE)</f>
        <v>Соотв.</v>
      </c>
      <c r="AG23" s="15">
        <f>VLOOKUP(Переменные[[#This Row],[DUT id]],ИсходныеДанные,19,FALSE)</f>
        <v>0.25</v>
      </c>
      <c r="AH23" s="15" t="str">
        <f>VLOOKUP(Переменные[[#This Row],[DUT id]],ИсходныеДанные,37,FALSE)</f>
        <v>Соотв.</v>
      </c>
      <c r="AI23" s="15" t="str">
        <f>VLOOKUP(Переменные[[#This Row],[DUT id]],ИсходныеДанные,35,FALSE)</f>
        <v>Загрязнение отсутствует</v>
      </c>
      <c r="AJ23" s="15" t="str">
        <f>VLOOKUP(Переменные[[#This Row],[DUT id]],ИсходныеДанные,36,FALSE)</f>
        <v>Соотв.</v>
      </c>
      <c r="AK23" s="15">
        <f>VLOOKUP(Переменные[[#This Row],[DUT id]],ИсходныеДанные,33,FALSE)</f>
        <v>0</v>
      </c>
      <c r="AL23" s="15" t="str">
        <f>VLOOKUP(Переменные[[#This Row],[DUT id]],ИсходныеДанные,34,FALSE)</f>
        <v>Соотв.</v>
      </c>
      <c r="AM23" s="15">
        <f>VLOOKUP(Переменные[[#This Row],[DUT id]],ИсходныеДанные,24,FALSE)</f>
        <v>10</v>
      </c>
    </row>
    <row r="24" spans="1:39" s="8" customFormat="1" ht="12" customHeight="1" thickBot="1" x14ac:dyDescent="0.25">
      <c r="A24" s="17" t="str">
        <f>Переменные[[#This Row],[TestReportID]]</f>
        <v>FM_OQ_02_1_3</v>
      </c>
      <c r="B24" s="8" t="str">
        <f t="shared" si="0"/>
        <v>да</v>
      </c>
      <c r="C24" s="8" t="str">
        <f t="shared" si="1"/>
        <v>Val_2 OQ Test Report template</v>
      </c>
      <c r="D24" s="9">
        <f t="shared" ca="1" si="2"/>
        <v>45807</v>
      </c>
      <c r="E24" s="8" t="str">
        <f t="shared" ca="1" si="3"/>
        <v>2025-05-30</v>
      </c>
      <c r="F24" s="8" t="str">
        <f t="shared" si="4"/>
        <v xml:space="preserve"> ☑  ☐  ☒ </v>
      </c>
      <c r="G24" s="18" t="str">
        <f>"FM_OQ_"&amp;Переменные[[#This Row],[DUT id]]</f>
        <v>FM_OQ_02_1_3</v>
      </c>
      <c r="H24" s="15" t="s">
        <v>58</v>
      </c>
      <c r="I24" s="16">
        <v>45803</v>
      </c>
      <c r="J24" s="15">
        <v>22</v>
      </c>
      <c r="K24" s="15">
        <v>65</v>
      </c>
      <c r="L24" s="15" t="str">
        <f>VLOOKUP(Переменные[[#This Row],[DUT id]],ИсходныеДанные,15,FALSE)</f>
        <v>Щипкова Елена</v>
      </c>
      <c r="M24" s="15" t="s">
        <v>325</v>
      </c>
      <c r="N24" s="15" t="s">
        <v>59</v>
      </c>
      <c r="O24" s="15" t="str">
        <f>VLOOKUP(Переменные[[#This Row],[DUT id]],ИсходныеДанные,4,FALSE)</f>
        <v>SN: 00241</v>
      </c>
      <c r="P24" s="15" t="str">
        <f>VLOOKUP(Переменные[[#This Row],[DUT id]],ИсходныеДанные,3,FALSE)</f>
        <v>LZM-100</v>
      </c>
      <c r="Q24" s="19" t="str">
        <f>VLOOKUP(Переменные[[#This Row],[DUT id]],ИсходныеДанные,5,FALSE)</f>
        <v>SP + 290 bit</v>
      </c>
      <c r="R24" s="19" t="str">
        <f>VLOOKUP(Переменные[[#This Row],[DUT id]],ИсходныеДанные,6,FALSE)</f>
        <v>30ms</v>
      </c>
      <c r="S24" s="19" t="str">
        <f>VLOOKUP(Переменные[[#This Row],[DUT id]],ИсходныеДанные,7,FALSE)</f>
        <v>6000ms</v>
      </c>
      <c r="T24" s="19" t="str">
        <f>VLOOKUP(Переменные[[#This Row],[DUT id]],ИсходныеДанные,8,FALSE)</f>
        <v>  0,145 гр/ms</v>
      </c>
      <c r="U24" s="19">
        <f>VLOOKUP(Переменные[[#This Row],[DUT id]],ИсходныеДанные,9,FALSE)</f>
        <v>0</v>
      </c>
      <c r="V24" s="19" t="str">
        <f>VLOOKUP(Переменные[[#This Row],[DUT id]],ИсходныеДанные,10,FALSE)</f>
        <v>LT_F + 2000 ms</v>
      </c>
      <c r="W24" s="15" t="s">
        <v>66</v>
      </c>
      <c r="X24" s="15" t="s">
        <v>111</v>
      </c>
      <c r="Y24" s="18" t="s">
        <v>112</v>
      </c>
      <c r="Z24" s="18" t="str">
        <f>VLOOKUP(Переменные[[#This Row],[DUT id]],ИсходныеДанные,27,FALSE)</f>
        <v>5,46/0/0/0</v>
      </c>
      <c r="AA24" s="15">
        <f>VLOOKUP(Переменные[[#This Row],[DUT id]],ИсходныеДанные,16,FALSE)</f>
        <v>1.21</v>
      </c>
      <c r="AB24" s="15" t="str">
        <f>VLOOKUP(Переменные[[#This Row],[DUT id]],ИсходныеДанные,28,FALSE)</f>
        <v>Соотв.</v>
      </c>
      <c r="AC24" s="15" t="str">
        <f>VLOOKUP(Переменные[[#This Row],[DUT id]],ИсходныеДанные,29,FALSE)</f>
        <v>Симмертично</v>
      </c>
      <c r="AD24" s="15" t="str">
        <f>VLOOKUP(Переменные[[#This Row],[DUT id]],ИсходныеДанные,30,FALSE)</f>
        <v>Соотв.</v>
      </c>
      <c r="AE24" s="15" t="str">
        <f>VLOOKUP(Переменные[[#This Row],[DUT id]],ИсходныеДанные,31,FALSE)</f>
        <v>Заплавлено</v>
      </c>
      <c r="AF24" s="15" t="str">
        <f>VLOOKUP(Переменные[[#This Row],[DUT id]],ИсходныеДанные,32,FALSE)</f>
        <v>Соотв.</v>
      </c>
      <c r="AG24" s="15">
        <f>VLOOKUP(Переменные[[#This Row],[DUT id]],ИсходныеДанные,19,FALSE)</f>
        <v>0.2</v>
      </c>
      <c r="AH24" s="15" t="str">
        <f>VLOOKUP(Переменные[[#This Row],[DUT id]],ИсходныеДанные,37,FALSE)</f>
        <v>Соотв.</v>
      </c>
      <c r="AI24" s="15" t="str">
        <f>VLOOKUP(Переменные[[#This Row],[DUT id]],ИсходныеДанные,35,FALSE)</f>
        <v>Загрязнение отсутствует</v>
      </c>
      <c r="AJ24" s="15" t="str">
        <f>VLOOKUP(Переменные[[#This Row],[DUT id]],ИсходныеДанные,36,FALSE)</f>
        <v>Соотв.</v>
      </c>
      <c r="AK24" s="15">
        <f>VLOOKUP(Переменные[[#This Row],[DUT id]],ИсходныеДанные,33,FALSE)</f>
        <v>0</v>
      </c>
      <c r="AL24" s="15" t="str">
        <f>VLOOKUP(Переменные[[#This Row],[DUT id]],ИсходныеДанные,34,FALSE)</f>
        <v>Соотв.</v>
      </c>
      <c r="AM24" s="15">
        <f>VLOOKUP(Переменные[[#This Row],[DUT id]],ИсходныеДанные,24,FALSE)</f>
        <v>10</v>
      </c>
    </row>
    <row r="25" spans="1:39" s="8" customFormat="1" ht="12" customHeight="1" thickBot="1" x14ac:dyDescent="0.25">
      <c r="A25" s="17" t="str">
        <f>Переменные[[#This Row],[TestReportID]]</f>
        <v>FM_OQ_02_5_1</v>
      </c>
      <c r="B25" s="8" t="str">
        <f t="shared" si="0"/>
        <v>да</v>
      </c>
      <c r="C25" s="8" t="str">
        <f t="shared" si="1"/>
        <v>Val_2 OQ Test Report template</v>
      </c>
      <c r="D25" s="9">
        <f t="shared" ca="1" si="2"/>
        <v>45807</v>
      </c>
      <c r="E25" s="8" t="str">
        <f t="shared" ca="1" si="3"/>
        <v>2025-05-30</v>
      </c>
      <c r="F25" s="8" t="str">
        <f t="shared" si="4"/>
        <v xml:space="preserve"> ☑  ☐  ☒ </v>
      </c>
      <c r="G25" s="18" t="str">
        <f>"FM_OQ_"&amp;Переменные[[#This Row],[DUT id]]</f>
        <v>FM_OQ_02_5_1</v>
      </c>
      <c r="H25" s="15" t="s">
        <v>58</v>
      </c>
      <c r="I25" s="16">
        <v>45803</v>
      </c>
      <c r="J25" s="15">
        <v>22</v>
      </c>
      <c r="K25" s="15">
        <v>65</v>
      </c>
      <c r="L25" s="15" t="str">
        <f>VLOOKUP(Переменные[[#This Row],[DUT id]],ИсходныеДанные,15,FALSE)</f>
        <v>Щипкова Елена</v>
      </c>
      <c r="M25" s="15" t="s">
        <v>325</v>
      </c>
      <c r="N25" s="15" t="s">
        <v>59</v>
      </c>
      <c r="O25" s="15" t="str">
        <f>VLOOKUP(Переменные[[#This Row],[DUT id]],ИсходныеДанные,4,FALSE)</f>
        <v>SN: 00241</v>
      </c>
      <c r="P25" s="15" t="str">
        <f>VLOOKUP(Переменные[[#This Row],[DUT id]],ИсходныеДанные,3,FALSE)</f>
        <v>LZM-100</v>
      </c>
      <c r="Q25" s="19" t="str">
        <f>VLOOKUP(Переменные[[#This Row],[DUT id]],ИсходныеДанные,5,FALSE)</f>
        <v>SP + 290 bit</v>
      </c>
      <c r="R25" s="19" t="str">
        <f>VLOOKUP(Переменные[[#This Row],[DUT id]],ИсходныеДанные,6,FALSE)</f>
        <v>30ms</v>
      </c>
      <c r="S25" s="19" t="str">
        <f>VLOOKUP(Переменные[[#This Row],[DUT id]],ИсходныеДанные,7,FALSE)</f>
        <v>8000ms</v>
      </c>
      <c r="T25" s="19" t="str">
        <f>VLOOKUP(Переменные[[#This Row],[DUT id]],ИсходныеДанные,8,FALSE)</f>
        <v>  0,145 гр/ms</v>
      </c>
      <c r="U25" s="19">
        <f>VLOOKUP(Переменные[[#This Row],[DUT id]],ИсходныеДанные,9,FALSE)</f>
        <v>0</v>
      </c>
      <c r="V25" s="19" t="str">
        <f>VLOOKUP(Переменные[[#This Row],[DUT id]],ИсходныеДанные,10,FALSE)</f>
        <v>LT_F + 1000 ms</v>
      </c>
      <c r="W25" s="15" t="s">
        <v>66</v>
      </c>
      <c r="X25" s="15" t="s">
        <v>113</v>
      </c>
      <c r="Y25" s="18" t="s">
        <v>114</v>
      </c>
      <c r="Z25" s="18" t="str">
        <f>VLOOKUP(Переменные[[#This Row],[DUT id]],ИсходныеДанные,27,FALSE)</f>
        <v>5,79/5,19/0/0</v>
      </c>
      <c r="AA25" s="15">
        <f>VLOOKUP(Переменные[[#This Row],[DUT id]],ИсходныеДанные,16,FALSE)</f>
        <v>1.24</v>
      </c>
      <c r="AB25" s="15" t="str">
        <f>VLOOKUP(Переменные[[#This Row],[DUT id]],ИсходныеДанные,28,FALSE)</f>
        <v>Соотв.</v>
      </c>
      <c r="AC25" s="15" t="str">
        <f>VLOOKUP(Переменные[[#This Row],[DUT id]],ИсходныеДанные,29,FALSE)</f>
        <v>Симмертично</v>
      </c>
      <c r="AD25" s="15" t="str">
        <f>VLOOKUP(Переменные[[#This Row],[DUT id]],ИсходныеДанные,30,FALSE)</f>
        <v>Соотв.</v>
      </c>
      <c r="AE25" s="15" t="str">
        <f>VLOOKUP(Переменные[[#This Row],[DUT id]],ИсходныеДанные,31,FALSE)</f>
        <v>Заплавлено</v>
      </c>
      <c r="AF25" s="15" t="str">
        <f>VLOOKUP(Переменные[[#This Row],[DUT id]],ИсходныеДанные,32,FALSE)</f>
        <v>Соотв.</v>
      </c>
      <c r="AG25" s="15">
        <f>VLOOKUP(Переменные[[#This Row],[DUT id]],ИсходныеДанные,19,FALSE)</f>
        <v>0.16</v>
      </c>
      <c r="AH25" s="15" t="str">
        <f>VLOOKUP(Переменные[[#This Row],[DUT id]],ИсходныеДанные,37,FALSE)</f>
        <v>Соотв.</v>
      </c>
      <c r="AI25" s="15" t="str">
        <f>VLOOKUP(Переменные[[#This Row],[DUT id]],ИсходныеДанные,35,FALSE)</f>
        <v>Загрязнение отсутствует</v>
      </c>
      <c r="AJ25" s="15" t="str">
        <f>VLOOKUP(Переменные[[#This Row],[DUT id]],ИсходныеДанные,36,FALSE)</f>
        <v>Соотв.</v>
      </c>
      <c r="AK25" s="15">
        <f>VLOOKUP(Переменные[[#This Row],[DUT id]],ИсходныеДанные,33,FALSE)</f>
        <v>1</v>
      </c>
      <c r="AL25" s="15" t="str">
        <f>VLOOKUP(Переменные[[#This Row],[DUT id]],ИсходныеДанные,34,FALSE)</f>
        <v>Соотв.</v>
      </c>
      <c r="AM25" s="15">
        <f>VLOOKUP(Переменные[[#This Row],[DUT id]],ИсходныеДанные,24,FALSE)</f>
        <v>10</v>
      </c>
    </row>
    <row r="26" spans="1:39" s="8" customFormat="1" ht="12" customHeight="1" thickBot="1" x14ac:dyDescent="0.25">
      <c r="A26" s="17" t="str">
        <f>Переменные[[#This Row],[TestReportID]]</f>
        <v>FM_OQ_02_5_2</v>
      </c>
      <c r="B26" s="8" t="str">
        <f t="shared" si="0"/>
        <v>да</v>
      </c>
      <c r="C26" s="8" t="str">
        <f t="shared" si="1"/>
        <v>Val_2 OQ Test Report template</v>
      </c>
      <c r="D26" s="9">
        <f t="shared" ca="1" si="2"/>
        <v>45807</v>
      </c>
      <c r="E26" s="8" t="str">
        <f t="shared" ca="1" si="3"/>
        <v>2025-05-30</v>
      </c>
      <c r="F26" s="8" t="str">
        <f t="shared" si="4"/>
        <v xml:space="preserve"> ☑  ☐  ☒ </v>
      </c>
      <c r="G26" s="18" t="str">
        <f>"FM_OQ_"&amp;Переменные[[#This Row],[DUT id]]</f>
        <v>FM_OQ_02_5_2</v>
      </c>
      <c r="H26" s="15" t="s">
        <v>58</v>
      </c>
      <c r="I26" s="16">
        <v>45803</v>
      </c>
      <c r="J26" s="15">
        <v>22</v>
      </c>
      <c r="K26" s="15">
        <v>65</v>
      </c>
      <c r="L26" s="15" t="str">
        <f>VLOOKUP(Переменные[[#This Row],[DUT id]],ИсходныеДанные,15,FALSE)</f>
        <v>Щипкова Елена</v>
      </c>
      <c r="M26" s="15" t="s">
        <v>325</v>
      </c>
      <c r="N26" s="15" t="s">
        <v>59</v>
      </c>
      <c r="O26" s="15" t="str">
        <f>VLOOKUP(Переменные[[#This Row],[DUT id]],ИсходныеДанные,4,FALSE)</f>
        <v>SN: 00241</v>
      </c>
      <c r="P26" s="15" t="str">
        <f>VLOOKUP(Переменные[[#This Row],[DUT id]],ИсходныеДанные,3,FALSE)</f>
        <v>LZM-100</v>
      </c>
      <c r="Q26" s="19" t="str">
        <f>VLOOKUP(Переменные[[#This Row],[DUT id]],ИсходныеДанные,5,FALSE)</f>
        <v>SP + 290 bit</v>
      </c>
      <c r="R26" s="19" t="str">
        <f>VLOOKUP(Переменные[[#This Row],[DUT id]],ИсходныеДанные,6,FALSE)</f>
        <v>30ms</v>
      </c>
      <c r="S26" s="19" t="str">
        <f>VLOOKUP(Переменные[[#This Row],[DUT id]],ИсходныеДанные,7,FALSE)</f>
        <v>8000ms</v>
      </c>
      <c r="T26" s="19" t="str">
        <f>VLOOKUP(Переменные[[#This Row],[DUT id]],ИсходныеДанные,8,FALSE)</f>
        <v>  0,145 гр/ms</v>
      </c>
      <c r="U26" s="19">
        <f>VLOOKUP(Переменные[[#This Row],[DUT id]],ИсходныеДанные,9,FALSE)</f>
        <v>0</v>
      </c>
      <c r="V26" s="19" t="str">
        <f>VLOOKUP(Переменные[[#This Row],[DUT id]],ИсходныеДанные,10,FALSE)</f>
        <v>LT_F + 1000 ms</v>
      </c>
      <c r="W26" s="15" t="s">
        <v>66</v>
      </c>
      <c r="X26" s="15" t="s">
        <v>115</v>
      </c>
      <c r="Y26" s="18" t="s">
        <v>116</v>
      </c>
      <c r="Z26" s="18" t="str">
        <f>VLOOKUP(Переменные[[#This Row],[DUT id]],ИсходныеДанные,27,FALSE)</f>
        <v>6,81/0/0/0</v>
      </c>
      <c r="AA26" s="15">
        <f>VLOOKUP(Переменные[[#This Row],[DUT id]],ИсходныеДанные,16,FALSE)</f>
        <v>1.23</v>
      </c>
      <c r="AB26" s="15" t="str">
        <f>VLOOKUP(Переменные[[#This Row],[DUT id]],ИсходныеДанные,28,FALSE)</f>
        <v>Соотв.</v>
      </c>
      <c r="AC26" s="15" t="str">
        <f>VLOOKUP(Переменные[[#This Row],[DUT id]],ИсходныеДанные,29,FALSE)</f>
        <v>Симмертично</v>
      </c>
      <c r="AD26" s="15" t="str">
        <f>VLOOKUP(Переменные[[#This Row],[DUT id]],ИсходныеДанные,30,FALSE)</f>
        <v>Соотв.</v>
      </c>
      <c r="AE26" s="15" t="str">
        <f>VLOOKUP(Переменные[[#This Row],[DUT id]],ИсходныеДанные,31,FALSE)</f>
        <v>Заплавлено</v>
      </c>
      <c r="AF26" s="15" t="str">
        <f>VLOOKUP(Переменные[[#This Row],[DUT id]],ИсходныеДанные,32,FALSE)</f>
        <v>Соотв.</v>
      </c>
      <c r="AG26" s="15">
        <f>VLOOKUP(Переменные[[#This Row],[DUT id]],ИсходныеДанные,19,FALSE)</f>
        <v>0.24</v>
      </c>
      <c r="AH26" s="15" t="str">
        <f>VLOOKUP(Переменные[[#This Row],[DUT id]],ИсходныеДанные,37,FALSE)</f>
        <v>Соотв.</v>
      </c>
      <c r="AI26" s="15" t="str">
        <f>VLOOKUP(Переменные[[#This Row],[DUT id]],ИсходныеДанные,35,FALSE)</f>
        <v>Загрязнение отсутствует</v>
      </c>
      <c r="AJ26" s="15" t="str">
        <f>VLOOKUP(Переменные[[#This Row],[DUT id]],ИсходныеДанные,36,FALSE)</f>
        <v>Соотв.</v>
      </c>
      <c r="AK26" s="15">
        <f>VLOOKUP(Переменные[[#This Row],[DUT id]],ИсходныеДанные,33,FALSE)</f>
        <v>0</v>
      </c>
      <c r="AL26" s="15" t="str">
        <f>VLOOKUP(Переменные[[#This Row],[DUT id]],ИсходныеДанные,34,FALSE)</f>
        <v>Соотв.</v>
      </c>
      <c r="AM26" s="15">
        <f>VLOOKUP(Переменные[[#This Row],[DUT id]],ИсходныеДанные,24,FALSE)</f>
        <v>8</v>
      </c>
    </row>
    <row r="27" spans="1:39" s="8" customFormat="1" ht="12" customHeight="1" thickBot="1" x14ac:dyDescent="0.25">
      <c r="A27" s="17" t="str">
        <f>Переменные[[#This Row],[TestReportID]]</f>
        <v>FM_OQ_02_5_3</v>
      </c>
      <c r="B27" s="8" t="str">
        <f t="shared" si="0"/>
        <v>да</v>
      </c>
      <c r="C27" s="8" t="str">
        <f t="shared" si="1"/>
        <v>Val_2 OQ Test Report template</v>
      </c>
      <c r="D27" s="9">
        <f t="shared" ca="1" si="2"/>
        <v>45807</v>
      </c>
      <c r="E27" s="8" t="str">
        <f t="shared" ca="1" si="3"/>
        <v>2025-05-30</v>
      </c>
      <c r="F27" s="8" t="str">
        <f t="shared" si="4"/>
        <v xml:space="preserve"> ☑  ☐  ☒ </v>
      </c>
      <c r="G27" s="18" t="str">
        <f>"FM_OQ_"&amp;Переменные[[#This Row],[DUT id]]</f>
        <v>FM_OQ_02_5_3</v>
      </c>
      <c r="H27" s="15" t="s">
        <v>58</v>
      </c>
      <c r="I27" s="16">
        <v>45803</v>
      </c>
      <c r="J27" s="15">
        <v>22</v>
      </c>
      <c r="K27" s="15">
        <v>65</v>
      </c>
      <c r="L27" s="15" t="str">
        <f>VLOOKUP(Переменные[[#This Row],[DUT id]],ИсходныеДанные,15,FALSE)</f>
        <v>Щипкова Елена</v>
      </c>
      <c r="M27" s="15" t="s">
        <v>325</v>
      </c>
      <c r="N27" s="15" t="s">
        <v>59</v>
      </c>
      <c r="O27" s="15" t="str">
        <f>VLOOKUP(Переменные[[#This Row],[DUT id]],ИсходныеДанные,4,FALSE)</f>
        <v>SN: 00241</v>
      </c>
      <c r="P27" s="15" t="str">
        <f>VLOOKUP(Переменные[[#This Row],[DUT id]],ИсходныеДанные,3,FALSE)</f>
        <v>LZM-100</v>
      </c>
      <c r="Q27" s="19" t="str">
        <f>VLOOKUP(Переменные[[#This Row],[DUT id]],ИсходныеДанные,5,FALSE)</f>
        <v>SP + 290 bit</v>
      </c>
      <c r="R27" s="19" t="str">
        <f>VLOOKUP(Переменные[[#This Row],[DUT id]],ИсходныеДанные,6,FALSE)</f>
        <v>30ms</v>
      </c>
      <c r="S27" s="19" t="str">
        <f>VLOOKUP(Переменные[[#This Row],[DUT id]],ИсходныеДанные,7,FALSE)</f>
        <v>8000ms</v>
      </c>
      <c r="T27" s="19" t="str">
        <f>VLOOKUP(Переменные[[#This Row],[DUT id]],ИсходныеДанные,8,FALSE)</f>
        <v>  0,145 гр/ms</v>
      </c>
      <c r="U27" s="19">
        <f>VLOOKUP(Переменные[[#This Row],[DUT id]],ИсходныеДанные,9,FALSE)</f>
        <v>0</v>
      </c>
      <c r="V27" s="19" t="str">
        <f>VLOOKUP(Переменные[[#This Row],[DUT id]],ИсходныеДанные,10,FALSE)</f>
        <v>LT_F + 1000 ms</v>
      </c>
      <c r="W27" s="15" t="s">
        <v>66</v>
      </c>
      <c r="X27" s="15" t="s">
        <v>117</v>
      </c>
      <c r="Y27" s="18" t="s">
        <v>118</v>
      </c>
      <c r="Z27" s="18" t="str">
        <f>VLOOKUP(Переменные[[#This Row],[DUT id]],ИсходныеДанные,27,FALSE)</f>
        <v>6,12/0/0/0</v>
      </c>
      <c r="AA27" s="15">
        <f>VLOOKUP(Переменные[[#This Row],[DUT id]],ИсходныеДанные,16,FALSE)</f>
        <v>1.23</v>
      </c>
      <c r="AB27" s="15" t="str">
        <f>VLOOKUP(Переменные[[#This Row],[DUT id]],ИсходныеДанные,28,FALSE)</f>
        <v>Соотв.</v>
      </c>
      <c r="AC27" s="15" t="str">
        <f>VLOOKUP(Переменные[[#This Row],[DUT id]],ИсходныеДанные,29,FALSE)</f>
        <v>Симмертично</v>
      </c>
      <c r="AD27" s="15" t="str">
        <f>VLOOKUP(Переменные[[#This Row],[DUT id]],ИсходныеДанные,30,FALSE)</f>
        <v>Соотв.</v>
      </c>
      <c r="AE27" s="15" t="str">
        <f>VLOOKUP(Переменные[[#This Row],[DUT id]],ИсходныеДанные,31,FALSE)</f>
        <v>Заплавлено</v>
      </c>
      <c r="AF27" s="15" t="str">
        <f>VLOOKUP(Переменные[[#This Row],[DUT id]],ИсходныеДанные,32,FALSE)</f>
        <v>Соотв.</v>
      </c>
      <c r="AG27" s="15">
        <f>VLOOKUP(Переменные[[#This Row],[DUT id]],ИсходныеДанные,19,FALSE)</f>
        <v>0.27</v>
      </c>
      <c r="AH27" s="15" t="str">
        <f>VLOOKUP(Переменные[[#This Row],[DUT id]],ИсходныеДанные,37,FALSE)</f>
        <v>Соотв.</v>
      </c>
      <c r="AI27" s="15" t="str">
        <f>VLOOKUP(Переменные[[#This Row],[DUT id]],ИсходныеДанные,35,FALSE)</f>
        <v>Загрязнение отсутствует</v>
      </c>
      <c r="AJ27" s="15" t="str">
        <f>VLOOKUP(Переменные[[#This Row],[DUT id]],ИсходныеДанные,36,FALSE)</f>
        <v>Соотв.</v>
      </c>
      <c r="AK27" s="15">
        <f>VLOOKUP(Переменные[[#This Row],[DUT id]],ИсходныеДанные,33,FALSE)</f>
        <v>0</v>
      </c>
      <c r="AL27" s="15" t="str">
        <f>VLOOKUP(Переменные[[#This Row],[DUT id]],ИсходныеДанные,34,FALSE)</f>
        <v>Соотв.</v>
      </c>
      <c r="AM27" s="15">
        <f>VLOOKUP(Переменные[[#This Row],[DUT id]],ИсходныеДанные,24,FALSE)</f>
        <v>9</v>
      </c>
    </row>
    <row r="28" spans="1:39" s="8" customFormat="1" ht="12" customHeight="1" thickBot="1" x14ac:dyDescent="0.25">
      <c r="A28" s="17" t="str">
        <f>Переменные[[#This Row],[TestReportID]]</f>
        <v>FM_OQ_03_9_1</v>
      </c>
      <c r="B28" s="8" t="str">
        <f t="shared" si="0"/>
        <v>да</v>
      </c>
      <c r="C28" s="8" t="str">
        <f t="shared" si="1"/>
        <v>Val_2 OQ Test Report template</v>
      </c>
      <c r="D28" s="9">
        <f t="shared" ca="1" si="2"/>
        <v>45807</v>
      </c>
      <c r="E28" s="8" t="str">
        <f t="shared" ca="1" si="3"/>
        <v>2025-05-30</v>
      </c>
      <c r="F28" s="8" t="str">
        <f t="shared" si="4"/>
        <v xml:space="preserve"> ☑  ☐  ☒ </v>
      </c>
      <c r="G28" s="18" t="str">
        <f>"FM_OQ_"&amp;Переменные[[#This Row],[DUT id]]</f>
        <v>FM_OQ_03_9_1</v>
      </c>
      <c r="H28" s="15" t="s">
        <v>58</v>
      </c>
      <c r="I28" s="16">
        <v>45803</v>
      </c>
      <c r="J28" s="15">
        <v>22</v>
      </c>
      <c r="K28" s="15">
        <v>65</v>
      </c>
      <c r="L28" s="15" t="str">
        <f>VLOOKUP(Переменные[[#This Row],[DUT id]],ИсходныеДанные,15,FALSE)</f>
        <v>Щипкова Елена</v>
      </c>
      <c r="M28" s="15" t="s">
        <v>325</v>
      </c>
      <c r="N28" s="15" t="s">
        <v>59</v>
      </c>
      <c r="O28" s="15" t="str">
        <f>VLOOKUP(Переменные[[#This Row],[DUT id]],ИсходныеДанные,4,FALSE)</f>
        <v>SN: 00241</v>
      </c>
      <c r="P28" s="15" t="str">
        <f>VLOOKUP(Переменные[[#This Row],[DUT id]],ИсходныеДанные,3,FALSE)</f>
        <v>LZM-100</v>
      </c>
      <c r="Q28" s="19" t="str">
        <f>VLOOKUP(Переменные[[#This Row],[DUT id]],ИсходныеДанные,5,FALSE)</f>
        <v>SP + 290 bit</v>
      </c>
      <c r="R28" s="19" t="str">
        <f>VLOOKUP(Переменные[[#This Row],[DUT id]],ИсходныеДанные,6,FALSE)</f>
        <v>30ms</v>
      </c>
      <c r="S28" s="19" t="str">
        <f>VLOOKUP(Переменные[[#This Row],[DUT id]],ИсходныеДанные,7,FALSE)</f>
        <v>6000ms</v>
      </c>
      <c r="T28" s="19" t="str">
        <f>VLOOKUP(Переменные[[#This Row],[DUT id]],ИсходныеДанные,8,FALSE)</f>
        <v>  0,145 гр/ms</v>
      </c>
      <c r="U28" s="19">
        <f>VLOOKUP(Переменные[[#This Row],[DUT id]],ИсходныеДанные,9,FALSE)</f>
        <v>0</v>
      </c>
      <c r="V28" s="19" t="str">
        <f>VLOOKUP(Переменные[[#This Row],[DUT id]],ИсходныеДанные,10,FALSE)</f>
        <v>LT_F + 2000 ms</v>
      </c>
      <c r="W28" s="15" t="s">
        <v>119</v>
      </c>
      <c r="X28" s="15" t="s">
        <v>120</v>
      </c>
      <c r="Y28" s="18" t="s">
        <v>121</v>
      </c>
      <c r="Z28" s="18" t="str">
        <f>VLOOKUP(Переменные[[#This Row],[DUT id]],ИсходныеДанные,27,FALSE)</f>
        <v>6,18/0/0/0</v>
      </c>
      <c r="AA28" s="15">
        <f>VLOOKUP(Переменные[[#This Row],[DUT id]],ИсходныеДанные,16,FALSE)</f>
        <v>1.45</v>
      </c>
      <c r="AB28" s="15" t="str">
        <f>VLOOKUP(Переменные[[#This Row],[DUT id]],ИсходныеДанные,28,FALSE)</f>
        <v>Соотв.</v>
      </c>
      <c r="AC28" s="15" t="str">
        <f>VLOOKUP(Переменные[[#This Row],[DUT id]],ИсходныеДанные,29,FALSE)</f>
        <v>Симмертично</v>
      </c>
      <c r="AD28" s="15" t="str">
        <f>VLOOKUP(Переменные[[#This Row],[DUT id]],ИсходныеДанные,30,FALSE)</f>
        <v>Соотв.</v>
      </c>
      <c r="AE28" s="15" t="str">
        <f>VLOOKUP(Переменные[[#This Row],[DUT id]],ИсходныеДанные,31,FALSE)</f>
        <v>Заплавлено</v>
      </c>
      <c r="AF28" s="15" t="str">
        <f>VLOOKUP(Переменные[[#This Row],[DUT id]],ИсходныеДанные,32,FALSE)</f>
        <v>Соотв.</v>
      </c>
      <c r="AG28" s="15">
        <f>VLOOKUP(Переменные[[#This Row],[DUT id]],ИсходныеДанные,19,FALSE)</f>
        <v>0.33</v>
      </c>
      <c r="AH28" s="15" t="str">
        <f>VLOOKUP(Переменные[[#This Row],[DUT id]],ИсходныеДанные,37,FALSE)</f>
        <v>Соотв.</v>
      </c>
      <c r="AI28" s="15" t="str">
        <f>VLOOKUP(Переменные[[#This Row],[DUT id]],ИсходныеДанные,35,FALSE)</f>
        <v>Загрязнение отсутствует</v>
      </c>
      <c r="AJ28" s="15" t="str">
        <f>VLOOKUP(Переменные[[#This Row],[DUT id]],ИсходныеДанные,36,FALSE)</f>
        <v>Соотв.</v>
      </c>
      <c r="AK28" s="15">
        <f>VLOOKUP(Переменные[[#This Row],[DUT id]],ИсходныеДанные,33,FALSE)</f>
        <v>0</v>
      </c>
      <c r="AL28" s="15" t="str">
        <f>VLOOKUP(Переменные[[#This Row],[DUT id]],ИсходныеДанные,34,FALSE)</f>
        <v>Соотв.</v>
      </c>
      <c r="AM28" s="15">
        <f>VLOOKUP(Переменные[[#This Row],[DUT id]],ИсходныеДанные,24,FALSE)</f>
        <v>10</v>
      </c>
    </row>
    <row r="29" spans="1:39" s="8" customFormat="1" ht="12" customHeight="1" thickBot="1" x14ac:dyDescent="0.25">
      <c r="A29" s="17" t="str">
        <f>Переменные[[#This Row],[TestReportID]]</f>
        <v>FM_OQ_03_9_2</v>
      </c>
      <c r="B29" s="8" t="str">
        <f t="shared" si="0"/>
        <v>да</v>
      </c>
      <c r="C29" s="8" t="str">
        <f t="shared" si="1"/>
        <v>Val_2 OQ Test Report template</v>
      </c>
      <c r="D29" s="9">
        <f t="shared" ca="1" si="2"/>
        <v>45807</v>
      </c>
      <c r="E29" s="8" t="str">
        <f t="shared" ca="1" si="3"/>
        <v>2025-05-30</v>
      </c>
      <c r="F29" s="8" t="str">
        <f t="shared" si="4"/>
        <v xml:space="preserve"> ☑  ☐  ☒ </v>
      </c>
      <c r="G29" s="18" t="str">
        <f>"FM_OQ_"&amp;Переменные[[#This Row],[DUT id]]</f>
        <v>FM_OQ_03_9_2</v>
      </c>
      <c r="H29" s="15" t="s">
        <v>58</v>
      </c>
      <c r="I29" s="16">
        <v>45803</v>
      </c>
      <c r="J29" s="15">
        <v>22</v>
      </c>
      <c r="K29" s="15">
        <v>65</v>
      </c>
      <c r="L29" s="15" t="str">
        <f>VLOOKUP(Переменные[[#This Row],[DUT id]],ИсходныеДанные,15,FALSE)</f>
        <v>Щипкова Елена</v>
      </c>
      <c r="M29" s="15" t="s">
        <v>325</v>
      </c>
      <c r="N29" s="15" t="s">
        <v>59</v>
      </c>
      <c r="O29" s="15" t="str">
        <f>VLOOKUP(Переменные[[#This Row],[DUT id]],ИсходныеДанные,4,FALSE)</f>
        <v>SN: 00241</v>
      </c>
      <c r="P29" s="15" t="str">
        <f>VLOOKUP(Переменные[[#This Row],[DUT id]],ИсходныеДанные,3,FALSE)</f>
        <v>LZM-100</v>
      </c>
      <c r="Q29" s="19" t="str">
        <f>VLOOKUP(Переменные[[#This Row],[DUT id]],ИсходныеДанные,5,FALSE)</f>
        <v>SP + 290 bit</v>
      </c>
      <c r="R29" s="19" t="str">
        <f>VLOOKUP(Переменные[[#This Row],[DUT id]],ИсходныеДанные,6,FALSE)</f>
        <v>30ms</v>
      </c>
      <c r="S29" s="19" t="str">
        <f>VLOOKUP(Переменные[[#This Row],[DUT id]],ИсходныеДанные,7,FALSE)</f>
        <v>6000ms</v>
      </c>
      <c r="T29" s="19" t="str">
        <f>VLOOKUP(Переменные[[#This Row],[DUT id]],ИсходныеДанные,8,FALSE)</f>
        <v>  0,145 гр/ms</v>
      </c>
      <c r="U29" s="19">
        <f>VLOOKUP(Переменные[[#This Row],[DUT id]],ИсходныеДанные,9,FALSE)</f>
        <v>0</v>
      </c>
      <c r="V29" s="19" t="str">
        <f>VLOOKUP(Переменные[[#This Row],[DUT id]],ИсходныеДанные,10,FALSE)</f>
        <v>LT_F + 2000 ms</v>
      </c>
      <c r="W29" s="15" t="s">
        <v>119</v>
      </c>
      <c r="X29" s="15" t="s">
        <v>122</v>
      </c>
      <c r="Y29" s="18" t="s">
        <v>123</v>
      </c>
      <c r="Z29" s="18" t="str">
        <f>VLOOKUP(Переменные[[#This Row],[DUT id]],ИсходныеДанные,27,FALSE)</f>
        <v>6,19/0/0/0</v>
      </c>
      <c r="AA29" s="15">
        <f>VLOOKUP(Переменные[[#This Row],[DUT id]],ИсходныеДанные,16,FALSE)</f>
        <v>1.4</v>
      </c>
      <c r="AB29" s="15" t="str">
        <f>VLOOKUP(Переменные[[#This Row],[DUT id]],ИсходныеДанные,28,FALSE)</f>
        <v>Соотв.</v>
      </c>
      <c r="AC29" s="15" t="str">
        <f>VLOOKUP(Переменные[[#This Row],[DUT id]],ИсходныеДанные,29,FALSE)</f>
        <v>Симмертично</v>
      </c>
      <c r="AD29" s="15" t="str">
        <f>VLOOKUP(Переменные[[#This Row],[DUT id]],ИсходныеДанные,30,FALSE)</f>
        <v>Соотв.</v>
      </c>
      <c r="AE29" s="15" t="str">
        <f>VLOOKUP(Переменные[[#This Row],[DUT id]],ИсходныеДанные,31,FALSE)</f>
        <v>Заплавлено</v>
      </c>
      <c r="AF29" s="15" t="str">
        <f>VLOOKUP(Переменные[[#This Row],[DUT id]],ИсходныеДанные,32,FALSE)</f>
        <v>Соотв.</v>
      </c>
      <c r="AG29" s="15">
        <f>VLOOKUP(Переменные[[#This Row],[DUT id]],ИсходныеДанные,19,FALSE)</f>
        <v>0.26</v>
      </c>
      <c r="AH29" s="15" t="str">
        <f>VLOOKUP(Переменные[[#This Row],[DUT id]],ИсходныеДанные,37,FALSE)</f>
        <v>Соотв.</v>
      </c>
      <c r="AI29" s="15" t="str">
        <f>VLOOKUP(Переменные[[#This Row],[DUT id]],ИсходныеДанные,35,FALSE)</f>
        <v>Загрязнение отсутствует</v>
      </c>
      <c r="AJ29" s="15" t="str">
        <f>VLOOKUP(Переменные[[#This Row],[DUT id]],ИсходныеДанные,36,FALSE)</f>
        <v>Соотв.</v>
      </c>
      <c r="AK29" s="15">
        <f>VLOOKUP(Переменные[[#This Row],[DUT id]],ИсходныеДанные,33,FALSE)</f>
        <v>0</v>
      </c>
      <c r="AL29" s="15" t="str">
        <f>VLOOKUP(Переменные[[#This Row],[DUT id]],ИсходныеДанные,34,FALSE)</f>
        <v>Соотв.</v>
      </c>
      <c r="AM29" s="15">
        <f>VLOOKUP(Переменные[[#This Row],[DUT id]],ИсходныеДанные,24,FALSE)</f>
        <v>10</v>
      </c>
    </row>
    <row r="30" spans="1:39" ht="12" customHeight="1" thickBot="1" x14ac:dyDescent="0.3">
      <c r="A30" s="17" t="str">
        <f>Переменные[[#This Row],[TestReportID]]</f>
        <v>FM_OQ_03_9_3</v>
      </c>
      <c r="B30" s="8" t="str">
        <f t="shared" si="0"/>
        <v>да</v>
      </c>
      <c r="C30" s="8" t="str">
        <f t="shared" si="1"/>
        <v>Val_2 OQ Test Report template</v>
      </c>
      <c r="D30" s="9">
        <f t="shared" ca="1" si="2"/>
        <v>45807</v>
      </c>
      <c r="E30" s="8" t="str">
        <f t="shared" ca="1" si="3"/>
        <v>2025-05-30</v>
      </c>
      <c r="F30" s="8" t="str">
        <f t="shared" si="4"/>
        <v xml:space="preserve"> ☑  ☐  ☒ </v>
      </c>
      <c r="G30" s="18" t="str">
        <f>"FM_OQ_"&amp;Переменные[[#This Row],[DUT id]]</f>
        <v>FM_OQ_03_9_3</v>
      </c>
      <c r="H30" s="15" t="s">
        <v>58</v>
      </c>
      <c r="I30" s="16">
        <v>45803</v>
      </c>
      <c r="J30" s="15">
        <v>22</v>
      </c>
      <c r="K30" s="15">
        <v>65</v>
      </c>
      <c r="L30" s="15" t="str">
        <f>VLOOKUP(Переменные[[#This Row],[DUT id]],ИсходныеДанные,15,FALSE)</f>
        <v>Щипкова Елена</v>
      </c>
      <c r="M30" s="15" t="s">
        <v>325</v>
      </c>
      <c r="N30" s="15" t="s">
        <v>59</v>
      </c>
      <c r="O30" s="15" t="str">
        <f>VLOOKUP(Переменные[[#This Row],[DUT id]],ИсходныеДанные,4,FALSE)</f>
        <v>SN: 00241</v>
      </c>
      <c r="P30" s="15" t="str">
        <f>VLOOKUP(Переменные[[#This Row],[DUT id]],ИсходныеДанные,3,FALSE)</f>
        <v>LZM-100</v>
      </c>
      <c r="Q30" s="19" t="str">
        <f>VLOOKUP(Переменные[[#This Row],[DUT id]],ИсходныеДанные,5,FALSE)</f>
        <v>SP + 290 bit</v>
      </c>
      <c r="R30" s="19" t="str">
        <f>VLOOKUP(Переменные[[#This Row],[DUT id]],ИсходныеДанные,6,FALSE)</f>
        <v>30ms</v>
      </c>
      <c r="S30" s="19" t="str">
        <f>VLOOKUP(Переменные[[#This Row],[DUT id]],ИсходныеДанные,7,FALSE)</f>
        <v>6000ms</v>
      </c>
      <c r="T30" s="19" t="str">
        <f>VLOOKUP(Переменные[[#This Row],[DUT id]],ИсходныеДанные,8,FALSE)</f>
        <v>  0,145 гр/ms</v>
      </c>
      <c r="U30" s="19">
        <f>VLOOKUP(Переменные[[#This Row],[DUT id]],ИсходныеДанные,9,FALSE)</f>
        <v>0</v>
      </c>
      <c r="V30" s="19" t="str">
        <f>VLOOKUP(Переменные[[#This Row],[DUT id]],ИсходныеДанные,10,FALSE)</f>
        <v>LT_F + 2000 ms</v>
      </c>
      <c r="W30" s="15" t="s">
        <v>119</v>
      </c>
      <c r="X30" s="15" t="s">
        <v>124</v>
      </c>
      <c r="Y30" s="18" t="s">
        <v>125</v>
      </c>
      <c r="Z30" s="18" t="str">
        <f>VLOOKUP(Переменные[[#This Row],[DUT id]],ИсходныеДанные,27,FALSE)</f>
        <v>5,71/0/0/0</v>
      </c>
      <c r="AA30" s="15">
        <f>VLOOKUP(Переменные[[#This Row],[DUT id]],ИсходныеДанные,16,FALSE)</f>
        <v>1.44</v>
      </c>
      <c r="AB30" s="15" t="str">
        <f>VLOOKUP(Переменные[[#This Row],[DUT id]],ИсходныеДанные,28,FALSE)</f>
        <v>Соотв.</v>
      </c>
      <c r="AC30" s="15" t="str">
        <f>VLOOKUP(Переменные[[#This Row],[DUT id]],ИсходныеДанные,29,FALSE)</f>
        <v>Не симметрично</v>
      </c>
      <c r="AD30" s="15" t="str">
        <f>VLOOKUP(Переменные[[#This Row],[DUT id]],ИсходныеДанные,30,FALSE)</f>
        <v>Не соотв.</v>
      </c>
      <c r="AE30" s="15" t="str">
        <f>VLOOKUP(Переменные[[#This Row],[DUT id]],ИсходныеДанные,31,FALSE)</f>
        <v>Не заплавлено</v>
      </c>
      <c r="AF30" s="15" t="str">
        <f>VLOOKUP(Переменные[[#This Row],[DUT id]],ИсходныеДанные,32,FALSE)</f>
        <v>Не соотв.</v>
      </c>
      <c r="AG30" s="30">
        <f>VLOOKUP(Переменные[[#This Row],[DUT id]],ИсходныеДанные,19,FALSE)</f>
        <v>-1</v>
      </c>
      <c r="AH30" s="15" t="str">
        <f>VLOOKUP(Переменные[[#This Row],[DUT id]],ИсходныеДанные,37,FALSE)</f>
        <v>Не соотв.</v>
      </c>
      <c r="AI30" s="15" t="str">
        <f>VLOOKUP(Переменные[[#This Row],[DUT id]],ИсходныеДанные,35,FALSE)</f>
        <v>Загрязнение отсутствует</v>
      </c>
      <c r="AJ30" s="15" t="str">
        <f>VLOOKUP(Переменные[[#This Row],[DUT id]],ИсходныеДанные,36,FALSE)</f>
        <v>Соотв.</v>
      </c>
      <c r="AK30" s="15">
        <f>VLOOKUP(Переменные[[#This Row],[DUT id]],ИсходныеДанные,33,FALSE)</f>
        <v>0</v>
      </c>
      <c r="AL30" s="15" t="str">
        <f>VLOOKUP(Переменные[[#This Row],[DUT id]],ИсходныеДанные,34,FALSE)</f>
        <v>Соотв.</v>
      </c>
      <c r="AM30" s="15">
        <f>VLOOKUP(Переменные[[#This Row],[DUT id]],ИсходныеДанные,24,FALSE)</f>
        <v>1</v>
      </c>
    </row>
    <row r="31" spans="1:39" ht="12" customHeight="1" thickBot="1" x14ac:dyDescent="0.3">
      <c r="A31" s="17" t="str">
        <f>Переменные[[#This Row],[TestReportID]]</f>
        <v>FM_OQ_03_16_1</v>
      </c>
      <c r="B31" s="8" t="str">
        <f t="shared" si="0"/>
        <v>да</v>
      </c>
      <c r="C31" s="8" t="str">
        <f t="shared" si="1"/>
        <v>Val_2 OQ Test Report template</v>
      </c>
      <c r="D31" s="9">
        <f t="shared" ca="1" si="2"/>
        <v>45807</v>
      </c>
      <c r="E31" s="8" t="str">
        <f t="shared" ca="1" si="3"/>
        <v>2025-05-30</v>
      </c>
      <c r="F31" s="8" t="str">
        <f t="shared" si="4"/>
        <v xml:space="preserve"> ☑  ☐  ☒ </v>
      </c>
      <c r="G31" s="18" t="str">
        <f>"FM_OQ_"&amp;Переменные[[#This Row],[DUT id]]</f>
        <v>FM_OQ_03_16_1</v>
      </c>
      <c r="H31" s="15" t="s">
        <v>58</v>
      </c>
      <c r="I31" s="16">
        <v>45803</v>
      </c>
      <c r="J31" s="15">
        <v>22</v>
      </c>
      <c r="K31" s="15">
        <v>65</v>
      </c>
      <c r="L31" s="15" t="str">
        <f>VLOOKUP(Переменные[[#This Row],[DUT id]],ИсходныеДанные,15,FALSE)</f>
        <v>Щипкова Елена</v>
      </c>
      <c r="M31" s="15" t="s">
        <v>325</v>
      </c>
      <c r="N31" s="15" t="s">
        <v>59</v>
      </c>
      <c r="O31" s="15" t="str">
        <f>VLOOKUP(Переменные[[#This Row],[DUT id]],ИсходныеДанные,4,FALSE)</f>
        <v>SN: 00241</v>
      </c>
      <c r="P31" s="15" t="str">
        <f>VLOOKUP(Переменные[[#This Row],[DUT id]],ИсходныеДанные,3,FALSE)</f>
        <v>LZM-100</v>
      </c>
      <c r="Q31" s="19" t="str">
        <f>VLOOKUP(Переменные[[#This Row],[DUT id]],ИсходныеДанные,5,FALSE)</f>
        <v> SP + 330 bit</v>
      </c>
      <c r="R31" s="19" t="str">
        <f>VLOOKUP(Переменные[[#This Row],[DUT id]],ИсходныеДанные,6,FALSE)</f>
        <v>40ms</v>
      </c>
      <c r="S31" s="19" t="str">
        <f>VLOOKUP(Переменные[[#This Row],[DUT id]],ИсходныеДанные,7,FALSE)</f>
        <v>8000ms</v>
      </c>
      <c r="T31" s="19" t="str">
        <f>VLOOKUP(Переменные[[#This Row],[DUT id]],ИсходныеДанные,8,FALSE)</f>
        <v>  0,145 гр/ms</v>
      </c>
      <c r="U31" s="19">
        <f>VLOOKUP(Переменные[[#This Row],[DUT id]],ИсходныеДанные,9,FALSE)</f>
        <v>0</v>
      </c>
      <c r="V31" s="19" t="str">
        <f>VLOOKUP(Переменные[[#This Row],[DUT id]],ИсходныеДанные,10,FALSE)</f>
        <v>LT_F + 2000 ms</v>
      </c>
      <c r="W31" s="15" t="s">
        <v>119</v>
      </c>
      <c r="X31" s="15" t="s">
        <v>126</v>
      </c>
      <c r="Y31" s="18" t="s">
        <v>127</v>
      </c>
      <c r="Z31" s="18" t="str">
        <f>VLOOKUP(Переменные[[#This Row],[DUT id]],ИсходныеДанные,27,FALSE)</f>
        <v>5,92/0/0/0</v>
      </c>
      <c r="AA31" s="15">
        <f>VLOOKUP(Переменные[[#This Row],[DUT id]],ИсходныеДанные,16,FALSE)</f>
        <v>1.4</v>
      </c>
      <c r="AB31" s="15" t="str">
        <f>VLOOKUP(Переменные[[#This Row],[DUT id]],ИсходныеДанные,28,FALSE)</f>
        <v>Соотв.</v>
      </c>
      <c r="AC31" s="15" t="str">
        <f>VLOOKUP(Переменные[[#This Row],[DUT id]],ИсходныеДанные,29,FALSE)</f>
        <v>Симмертично</v>
      </c>
      <c r="AD31" s="15" t="str">
        <f>VLOOKUP(Переменные[[#This Row],[DUT id]],ИсходныеДанные,30,FALSE)</f>
        <v>Соотв.</v>
      </c>
      <c r="AE31" s="15" t="str">
        <f>VLOOKUP(Переменные[[#This Row],[DUT id]],ИсходныеДанные,31,FALSE)</f>
        <v>Заплавлено</v>
      </c>
      <c r="AF31" s="15" t="str">
        <f>VLOOKUP(Переменные[[#This Row],[DUT id]],ИсходныеДанные,32,FALSE)</f>
        <v>Соотв.</v>
      </c>
      <c r="AG31" s="15">
        <f>VLOOKUP(Переменные[[#This Row],[DUT id]],ИсходныеДанные,19,FALSE)</f>
        <v>0.31</v>
      </c>
      <c r="AH31" s="15" t="str">
        <f>VLOOKUP(Переменные[[#This Row],[DUT id]],ИсходныеДанные,37,FALSE)</f>
        <v>Соотв.</v>
      </c>
      <c r="AI31" s="15" t="str">
        <f>VLOOKUP(Переменные[[#This Row],[DUT id]],ИсходныеДанные,35,FALSE)</f>
        <v>Загрязнение отсутствует</v>
      </c>
      <c r="AJ31" s="15" t="str">
        <f>VLOOKUP(Переменные[[#This Row],[DUT id]],ИсходныеДанные,36,FALSE)</f>
        <v>Соотв.</v>
      </c>
      <c r="AK31" s="15">
        <f>VLOOKUP(Переменные[[#This Row],[DUT id]],ИсходныеДанные,33,FALSE)</f>
        <v>0</v>
      </c>
      <c r="AL31" s="15" t="str">
        <f>VLOOKUP(Переменные[[#This Row],[DUT id]],ИсходныеДанные,34,FALSE)</f>
        <v>Соотв.</v>
      </c>
      <c r="AM31" s="15">
        <f>VLOOKUP(Переменные[[#This Row],[DUT id]],ИсходныеДанные,24,FALSE)</f>
        <v>8</v>
      </c>
    </row>
    <row r="32" spans="1:39" ht="12" customHeight="1" thickBot="1" x14ac:dyDescent="0.3">
      <c r="A32" s="17" t="str">
        <f>Переменные[[#This Row],[TestReportID]]</f>
        <v>FM_OQ_03_16_2</v>
      </c>
      <c r="B32" s="8" t="str">
        <f t="shared" si="0"/>
        <v>да</v>
      </c>
      <c r="C32" s="8" t="str">
        <f t="shared" si="1"/>
        <v>Val_2 OQ Test Report template</v>
      </c>
      <c r="D32" s="9">
        <f t="shared" ca="1" si="2"/>
        <v>45807</v>
      </c>
      <c r="E32" s="8" t="str">
        <f t="shared" ca="1" si="3"/>
        <v>2025-05-30</v>
      </c>
      <c r="F32" s="8" t="str">
        <f t="shared" si="4"/>
        <v xml:space="preserve"> ☑  ☐  ☒ </v>
      </c>
      <c r="G32" s="18" t="str">
        <f>"FM_OQ_"&amp;Переменные[[#This Row],[DUT id]]</f>
        <v>FM_OQ_03_16_2</v>
      </c>
      <c r="H32" s="15" t="s">
        <v>58</v>
      </c>
      <c r="I32" s="16">
        <v>45803</v>
      </c>
      <c r="J32" s="15">
        <v>22</v>
      </c>
      <c r="K32" s="15">
        <v>65</v>
      </c>
      <c r="L32" s="15" t="str">
        <f>VLOOKUP(Переменные[[#This Row],[DUT id]],ИсходныеДанные,15,FALSE)</f>
        <v>Щипкова Елена</v>
      </c>
      <c r="M32" s="15" t="s">
        <v>325</v>
      </c>
      <c r="N32" s="15" t="s">
        <v>59</v>
      </c>
      <c r="O32" s="15" t="str">
        <f>VLOOKUP(Переменные[[#This Row],[DUT id]],ИсходныеДанные,4,FALSE)</f>
        <v>SN: 00241</v>
      </c>
      <c r="P32" s="15" t="str">
        <f>VLOOKUP(Переменные[[#This Row],[DUT id]],ИсходныеДанные,3,FALSE)</f>
        <v>LZM-100</v>
      </c>
      <c r="Q32" s="19" t="str">
        <f>VLOOKUP(Переменные[[#This Row],[DUT id]],ИсходныеДанные,5,FALSE)</f>
        <v> SP + 330 bit</v>
      </c>
      <c r="R32" s="19" t="str">
        <f>VLOOKUP(Переменные[[#This Row],[DUT id]],ИсходныеДанные,6,FALSE)</f>
        <v>40ms</v>
      </c>
      <c r="S32" s="19" t="str">
        <f>VLOOKUP(Переменные[[#This Row],[DUT id]],ИсходныеДанные,7,FALSE)</f>
        <v>8000ms</v>
      </c>
      <c r="T32" s="19" t="str">
        <f>VLOOKUP(Переменные[[#This Row],[DUT id]],ИсходныеДанные,8,FALSE)</f>
        <v>  0,145 гр/ms</v>
      </c>
      <c r="U32" s="19">
        <f>VLOOKUP(Переменные[[#This Row],[DUT id]],ИсходныеДанные,9,FALSE)</f>
        <v>0</v>
      </c>
      <c r="V32" s="19" t="str">
        <f>VLOOKUP(Переменные[[#This Row],[DUT id]],ИсходныеДанные,10,FALSE)</f>
        <v>LT_F + 2000 ms</v>
      </c>
      <c r="W32" s="15" t="s">
        <v>119</v>
      </c>
      <c r="X32" s="15" t="s">
        <v>128</v>
      </c>
      <c r="Y32" s="18" t="s">
        <v>129</v>
      </c>
      <c r="Z32" s="18" t="str">
        <f>VLOOKUP(Переменные[[#This Row],[DUT id]],ИсходныеДанные,27,FALSE)</f>
        <v>7,19/0/0/0</v>
      </c>
      <c r="AA32" s="15">
        <f>VLOOKUP(Переменные[[#This Row],[DUT id]],ИсходныеДанные,16,FALSE)</f>
        <v>1.37</v>
      </c>
      <c r="AB32" s="15" t="str">
        <f>VLOOKUP(Переменные[[#This Row],[DUT id]],ИсходныеДанные,28,FALSE)</f>
        <v>Соотв.</v>
      </c>
      <c r="AC32" s="15" t="str">
        <f>VLOOKUP(Переменные[[#This Row],[DUT id]],ИсходныеДанные,29,FALSE)</f>
        <v>Симмертично</v>
      </c>
      <c r="AD32" s="15" t="str">
        <f>VLOOKUP(Переменные[[#This Row],[DUT id]],ИсходныеДанные,30,FALSE)</f>
        <v>Соотв.</v>
      </c>
      <c r="AE32" s="15" t="str">
        <f>VLOOKUP(Переменные[[#This Row],[DUT id]],ИсходныеДанные,31,FALSE)</f>
        <v>Заплавлено</v>
      </c>
      <c r="AF32" s="15" t="str">
        <f>VLOOKUP(Переменные[[#This Row],[DUT id]],ИсходныеДанные,32,FALSE)</f>
        <v>Соотв.</v>
      </c>
      <c r="AG32" s="15">
        <f>VLOOKUP(Переменные[[#This Row],[DUT id]],ИсходныеДанные,19,FALSE)</f>
        <v>0.27</v>
      </c>
      <c r="AH32" s="15" t="str">
        <f>VLOOKUP(Переменные[[#This Row],[DUT id]],ИсходныеДанные,37,FALSE)</f>
        <v>Соотв.</v>
      </c>
      <c r="AI32" s="15" t="str">
        <f>VLOOKUP(Переменные[[#This Row],[DUT id]],ИсходныеДанные,35,FALSE)</f>
        <v>Загрязнение отсутствует</v>
      </c>
      <c r="AJ32" s="15" t="str">
        <f>VLOOKUP(Переменные[[#This Row],[DUT id]],ИсходныеДанные,36,FALSE)</f>
        <v>Соотв.</v>
      </c>
      <c r="AK32" s="15">
        <f>VLOOKUP(Переменные[[#This Row],[DUT id]],ИсходныеДанные,33,FALSE)</f>
        <v>0</v>
      </c>
      <c r="AL32" s="15" t="str">
        <f>VLOOKUP(Переменные[[#This Row],[DUT id]],ИсходныеДанные,34,FALSE)</f>
        <v>Соотв.</v>
      </c>
      <c r="AM32" s="15">
        <f>VLOOKUP(Переменные[[#This Row],[DUT id]],ИсходныеДанные,24,FALSE)</f>
        <v>7</v>
      </c>
    </row>
    <row r="33" spans="1:39" ht="12" customHeight="1" thickBot="1" x14ac:dyDescent="0.3">
      <c r="A33" s="17" t="str">
        <f>Переменные[[#This Row],[TestReportID]]</f>
        <v>FM_OQ_03_16_3</v>
      </c>
      <c r="B33" s="8" t="str">
        <f t="shared" si="0"/>
        <v>да</v>
      </c>
      <c r="C33" s="8" t="str">
        <f t="shared" si="1"/>
        <v>Val_2 OQ Test Report template</v>
      </c>
      <c r="D33" s="9">
        <f t="shared" ca="1" si="2"/>
        <v>45807</v>
      </c>
      <c r="E33" s="8" t="str">
        <f t="shared" ca="1" si="3"/>
        <v>2025-05-30</v>
      </c>
      <c r="F33" s="8" t="str">
        <f t="shared" si="4"/>
        <v xml:space="preserve"> ☑  ☐  ☒ </v>
      </c>
      <c r="G33" s="18" t="str">
        <f>"FM_OQ_"&amp;Переменные[[#This Row],[DUT id]]</f>
        <v>FM_OQ_03_16_3</v>
      </c>
      <c r="H33" s="15" t="s">
        <v>58</v>
      </c>
      <c r="I33" s="16">
        <v>45803</v>
      </c>
      <c r="J33" s="15">
        <v>22</v>
      </c>
      <c r="K33" s="15">
        <v>65</v>
      </c>
      <c r="L33" s="15" t="str">
        <f>VLOOKUP(Переменные[[#This Row],[DUT id]],ИсходныеДанные,15,FALSE)</f>
        <v>Щипкова Елена</v>
      </c>
      <c r="M33" s="15" t="s">
        <v>325</v>
      </c>
      <c r="N33" s="15" t="s">
        <v>59</v>
      </c>
      <c r="O33" s="15" t="str">
        <f>VLOOKUP(Переменные[[#This Row],[DUT id]],ИсходныеДанные,4,FALSE)</f>
        <v>SN: 00241</v>
      </c>
      <c r="P33" s="15" t="str">
        <f>VLOOKUP(Переменные[[#This Row],[DUT id]],ИсходныеДанные,3,FALSE)</f>
        <v>LZM-100</v>
      </c>
      <c r="Q33" s="19" t="str">
        <f>VLOOKUP(Переменные[[#This Row],[DUT id]],ИсходныеДанные,5,FALSE)</f>
        <v> SP + 330 bit</v>
      </c>
      <c r="R33" s="19" t="str">
        <f>VLOOKUP(Переменные[[#This Row],[DUT id]],ИсходныеДанные,6,FALSE)</f>
        <v>40ms</v>
      </c>
      <c r="S33" s="19" t="str">
        <f>VLOOKUP(Переменные[[#This Row],[DUT id]],ИсходныеДанные,7,FALSE)</f>
        <v>8000ms</v>
      </c>
      <c r="T33" s="19" t="str">
        <f>VLOOKUP(Переменные[[#This Row],[DUT id]],ИсходныеДанные,8,FALSE)</f>
        <v>  0,145 гр/ms</v>
      </c>
      <c r="U33" s="19">
        <f>VLOOKUP(Переменные[[#This Row],[DUT id]],ИсходныеДанные,9,FALSE)</f>
        <v>0</v>
      </c>
      <c r="V33" s="19" t="str">
        <f>VLOOKUP(Переменные[[#This Row],[DUT id]],ИсходныеДанные,10,FALSE)</f>
        <v>LT_F + 2000 ms</v>
      </c>
      <c r="W33" s="15" t="s">
        <v>119</v>
      </c>
      <c r="X33" s="15" t="s">
        <v>130</v>
      </c>
      <c r="Y33" s="18" t="s">
        <v>131</v>
      </c>
      <c r="Z33" s="18" t="str">
        <f>VLOOKUP(Переменные[[#This Row],[DUT id]],ИсходныеДанные,27,FALSE)</f>
        <v>5,65/0/0/0</v>
      </c>
      <c r="AA33" s="15">
        <f>VLOOKUP(Переменные[[#This Row],[DUT id]],ИсходныеДанные,16,FALSE)</f>
        <v>1.41</v>
      </c>
      <c r="AB33" s="15" t="str">
        <f>VLOOKUP(Переменные[[#This Row],[DUT id]],ИсходныеДанные,28,FALSE)</f>
        <v>Соотв.</v>
      </c>
      <c r="AC33" s="15" t="str">
        <f>VLOOKUP(Переменные[[#This Row],[DUT id]],ИсходныеДанные,29,FALSE)</f>
        <v>Симмертично</v>
      </c>
      <c r="AD33" s="15" t="str">
        <f>VLOOKUP(Переменные[[#This Row],[DUT id]],ИсходныеДанные,30,FALSE)</f>
        <v>Соотв.</v>
      </c>
      <c r="AE33" s="15" t="str">
        <f>VLOOKUP(Переменные[[#This Row],[DUT id]],ИсходныеДанные,31,FALSE)</f>
        <v>Заплавлено</v>
      </c>
      <c r="AF33" s="15" t="str">
        <f>VLOOKUP(Переменные[[#This Row],[DUT id]],ИсходныеДанные,32,FALSE)</f>
        <v>Соотв.</v>
      </c>
      <c r="AG33" s="15">
        <f>VLOOKUP(Переменные[[#This Row],[DUT id]],ИсходныеДанные,19,FALSE)</f>
        <v>0.32</v>
      </c>
      <c r="AH33" s="15" t="str">
        <f>VLOOKUP(Переменные[[#This Row],[DUT id]],ИсходныеДанные,37,FALSE)</f>
        <v>Соотв.</v>
      </c>
      <c r="AI33" s="15" t="str">
        <f>VLOOKUP(Переменные[[#This Row],[DUT id]],ИсходныеДанные,35,FALSE)</f>
        <v>Загрязнение отсутствует</v>
      </c>
      <c r="AJ33" s="15" t="str">
        <f>VLOOKUP(Переменные[[#This Row],[DUT id]],ИсходныеДанные,36,FALSE)</f>
        <v>Соотв.</v>
      </c>
      <c r="AK33" s="15">
        <f>VLOOKUP(Переменные[[#This Row],[DUT id]],ИсходныеДанные,33,FALSE)</f>
        <v>0</v>
      </c>
      <c r="AL33" s="15" t="str">
        <f>VLOOKUP(Переменные[[#This Row],[DUT id]],ИсходныеДанные,34,FALSE)</f>
        <v>Соотв.</v>
      </c>
      <c r="AM33" s="15">
        <f>VLOOKUP(Переменные[[#This Row],[DUT id]],ИсходныеДанные,24,FALSE)</f>
        <v>9</v>
      </c>
    </row>
    <row r="34" spans="1:39" ht="12" customHeight="1" thickBot="1" x14ac:dyDescent="0.3">
      <c r="A34" s="17" t="str">
        <f>Переменные[[#This Row],[TestReportID]]</f>
        <v>FM_OQ_03_10_1</v>
      </c>
      <c r="B34" s="8" t="str">
        <f t="shared" si="0"/>
        <v>да</v>
      </c>
      <c r="C34" s="8" t="str">
        <f t="shared" si="1"/>
        <v>Val_2 OQ Test Report template</v>
      </c>
      <c r="D34" s="9">
        <f t="shared" ca="1" si="2"/>
        <v>45807</v>
      </c>
      <c r="E34" s="8" t="str">
        <f t="shared" ca="1" si="3"/>
        <v>2025-05-30</v>
      </c>
      <c r="F34" s="8" t="str">
        <f t="shared" si="4"/>
        <v xml:space="preserve"> ☑  ☐  ☒ </v>
      </c>
      <c r="G34" s="18" t="str">
        <f>"FM_OQ_"&amp;Переменные[[#This Row],[DUT id]]</f>
        <v>FM_OQ_03_10_1</v>
      </c>
      <c r="H34" s="15" t="s">
        <v>58</v>
      </c>
      <c r="I34" s="16">
        <v>45803</v>
      </c>
      <c r="J34" s="15">
        <v>22</v>
      </c>
      <c r="K34" s="15">
        <v>65</v>
      </c>
      <c r="L34" s="15" t="str">
        <f>VLOOKUP(Переменные[[#This Row],[DUT id]],ИсходныеДанные,15,FALSE)</f>
        <v>Щипкова Елена</v>
      </c>
      <c r="M34" s="15" t="s">
        <v>325</v>
      </c>
      <c r="N34" s="15" t="s">
        <v>59</v>
      </c>
      <c r="O34" s="15" t="str">
        <f>VLOOKUP(Переменные[[#This Row],[DUT id]],ИсходныеДанные,4,FALSE)</f>
        <v>SN: 00241</v>
      </c>
      <c r="P34" s="15" t="str">
        <f>VLOOKUP(Переменные[[#This Row],[DUT id]],ИсходныеДанные,3,FALSE)</f>
        <v>LZM-100</v>
      </c>
      <c r="Q34" s="19" t="str">
        <f>VLOOKUP(Переменные[[#This Row],[DUT id]],ИсходныеДанные,5,FALSE)</f>
        <v> SP + 330 bit</v>
      </c>
      <c r="R34" s="19" t="str">
        <f>VLOOKUP(Переменные[[#This Row],[DUT id]],ИсходныеДанные,6,FALSE)</f>
        <v>30ms</v>
      </c>
      <c r="S34" s="19" t="str">
        <f>VLOOKUP(Переменные[[#This Row],[DUT id]],ИсходныеДанные,7,FALSE)</f>
        <v>6000ms</v>
      </c>
      <c r="T34" s="19" t="str">
        <f>VLOOKUP(Переменные[[#This Row],[DUT id]],ИсходныеДанные,8,FALSE)</f>
        <v> 0,120 гр/ms</v>
      </c>
      <c r="U34" s="19">
        <f>VLOOKUP(Переменные[[#This Row],[DUT id]],ИсходныеДанные,9,FALSE)</f>
        <v>0</v>
      </c>
      <c r="V34" s="19" t="str">
        <f>VLOOKUP(Переменные[[#This Row],[DUT id]],ИсходныеДанные,10,FALSE)</f>
        <v>LT_F + 1000 ms</v>
      </c>
      <c r="W34" s="15" t="s">
        <v>119</v>
      </c>
      <c r="X34" s="15" t="s">
        <v>132</v>
      </c>
      <c r="Y34" s="18" t="s">
        <v>133</v>
      </c>
      <c r="Z34" s="18" t="str">
        <f>VLOOKUP(Переменные[[#This Row],[DUT id]],ИсходныеДанные,27,FALSE)</f>
        <v>6,69/0/0/0</v>
      </c>
      <c r="AA34" s="15">
        <f>VLOOKUP(Переменные[[#This Row],[DUT id]],ИсходныеДанные,16,FALSE)</f>
        <v>1.43</v>
      </c>
      <c r="AB34" s="15" t="str">
        <f>VLOOKUP(Переменные[[#This Row],[DUT id]],ИсходныеДанные,28,FALSE)</f>
        <v>Соотв.</v>
      </c>
      <c r="AC34" s="15" t="str">
        <f>VLOOKUP(Переменные[[#This Row],[DUT id]],ИсходныеДанные,29,FALSE)</f>
        <v>Не симметрично</v>
      </c>
      <c r="AD34" s="15" t="str">
        <f>VLOOKUP(Переменные[[#This Row],[DUT id]],ИсходныеДанные,30,FALSE)</f>
        <v>Не соотв.</v>
      </c>
      <c r="AE34" s="15" t="str">
        <f>VLOOKUP(Переменные[[#This Row],[DUT id]],ИсходныеДанные,31,FALSE)</f>
        <v>Заплавлено</v>
      </c>
      <c r="AF34" s="15" t="str">
        <f>VLOOKUP(Переменные[[#This Row],[DUT id]],ИсходныеДанные,32,FALSE)</f>
        <v>Соотв.</v>
      </c>
      <c r="AG34" s="30">
        <f>VLOOKUP(Переменные[[#This Row],[DUT id]],ИсходныеДанные,19,FALSE)</f>
        <v>0.28999999999999998</v>
      </c>
      <c r="AH34" s="15" t="str">
        <f>VLOOKUP(Переменные[[#This Row],[DUT id]],ИсходныеДанные,37,FALSE)</f>
        <v>Соотв.</v>
      </c>
      <c r="AI34" s="15" t="str">
        <f>VLOOKUP(Переменные[[#This Row],[DUT id]],ИсходныеДанные,35,FALSE)</f>
        <v>Загрязнение отсутствует</v>
      </c>
      <c r="AJ34" s="15" t="str">
        <f>VLOOKUP(Переменные[[#This Row],[DUT id]],ИсходныеДанные,36,FALSE)</f>
        <v>Соотв.</v>
      </c>
      <c r="AK34" s="15">
        <f>VLOOKUP(Переменные[[#This Row],[DUT id]],ИсходныеДанные,33,FALSE)</f>
        <v>0</v>
      </c>
      <c r="AL34" s="15" t="str">
        <f>VLOOKUP(Переменные[[#This Row],[DUT id]],ИсходныеДанные,34,FALSE)</f>
        <v>Соотв.</v>
      </c>
      <c r="AM34" s="15">
        <f>VLOOKUP(Переменные[[#This Row],[DUT id]],ИсходныеДанные,24,FALSE)</f>
        <v>3</v>
      </c>
    </row>
    <row r="35" spans="1:39" ht="12" customHeight="1" thickBot="1" x14ac:dyDescent="0.3">
      <c r="A35" s="17" t="str">
        <f>Переменные[[#This Row],[TestReportID]]</f>
        <v>FM_OQ_03_10_2</v>
      </c>
      <c r="B35" s="8" t="str">
        <f t="shared" si="0"/>
        <v>да</v>
      </c>
      <c r="C35" s="8" t="str">
        <f t="shared" si="1"/>
        <v>Val_2 OQ Test Report template</v>
      </c>
      <c r="D35" s="9">
        <f t="shared" ca="1" si="2"/>
        <v>45807</v>
      </c>
      <c r="E35" s="8" t="str">
        <f t="shared" ca="1" si="3"/>
        <v>2025-05-30</v>
      </c>
      <c r="F35" s="8" t="str">
        <f t="shared" si="4"/>
        <v xml:space="preserve"> ☑  ☐  ☒ </v>
      </c>
      <c r="G35" s="18" t="str">
        <f>"FM_OQ_"&amp;Переменные[[#This Row],[DUT id]]</f>
        <v>FM_OQ_03_10_2</v>
      </c>
      <c r="H35" s="15" t="s">
        <v>58</v>
      </c>
      <c r="I35" s="16">
        <v>45803</v>
      </c>
      <c r="J35" s="15">
        <v>22</v>
      </c>
      <c r="K35" s="15">
        <v>65</v>
      </c>
      <c r="L35" s="15" t="str">
        <f>VLOOKUP(Переменные[[#This Row],[DUT id]],ИсходныеДанные,15,FALSE)</f>
        <v>Щипкова Елена</v>
      </c>
      <c r="M35" s="15" t="s">
        <v>325</v>
      </c>
      <c r="N35" s="15" t="s">
        <v>59</v>
      </c>
      <c r="O35" s="15" t="str">
        <f>VLOOKUP(Переменные[[#This Row],[DUT id]],ИсходныеДанные,4,FALSE)</f>
        <v>SN: 00241</v>
      </c>
      <c r="P35" s="15" t="str">
        <f>VLOOKUP(Переменные[[#This Row],[DUT id]],ИсходныеДанные,3,FALSE)</f>
        <v>LZM-100</v>
      </c>
      <c r="Q35" s="19" t="str">
        <f>VLOOKUP(Переменные[[#This Row],[DUT id]],ИсходныеДанные,5,FALSE)</f>
        <v> SP + 330 bit</v>
      </c>
      <c r="R35" s="19" t="str">
        <f>VLOOKUP(Переменные[[#This Row],[DUT id]],ИсходныеДанные,6,FALSE)</f>
        <v>30ms</v>
      </c>
      <c r="S35" s="19" t="str">
        <f>VLOOKUP(Переменные[[#This Row],[DUT id]],ИсходныеДанные,7,FALSE)</f>
        <v>6000ms</v>
      </c>
      <c r="T35" s="19" t="str">
        <f>VLOOKUP(Переменные[[#This Row],[DUT id]],ИсходныеДанные,8,FALSE)</f>
        <v> 0,120 гр/ms</v>
      </c>
      <c r="U35" s="19">
        <f>VLOOKUP(Переменные[[#This Row],[DUT id]],ИсходныеДанные,9,FALSE)</f>
        <v>0</v>
      </c>
      <c r="V35" s="19" t="str">
        <f>VLOOKUP(Переменные[[#This Row],[DUT id]],ИсходныеДанные,10,FALSE)</f>
        <v>LT_F + 1000 ms</v>
      </c>
      <c r="W35" s="15" t="s">
        <v>119</v>
      </c>
      <c r="X35" s="15" t="s">
        <v>134</v>
      </c>
      <c r="Y35" s="18" t="s">
        <v>135</v>
      </c>
      <c r="Z35" s="18" t="str">
        <f>VLOOKUP(Переменные[[#This Row],[DUT id]],ИсходныеДанные,27,FALSE)</f>
        <v>6,19/0/0/0</v>
      </c>
      <c r="AA35" s="15">
        <f>VLOOKUP(Переменные[[#This Row],[DUT id]],ИсходныеДанные,16,FALSE)</f>
        <v>1.42</v>
      </c>
      <c r="AB35" s="15" t="str">
        <f>VLOOKUP(Переменные[[#This Row],[DUT id]],ИсходныеДанные,28,FALSE)</f>
        <v>Соотв.</v>
      </c>
      <c r="AC35" s="15" t="str">
        <f>VLOOKUP(Переменные[[#This Row],[DUT id]],ИсходныеДанные,29,FALSE)</f>
        <v>Симмертично</v>
      </c>
      <c r="AD35" s="15" t="str">
        <f>VLOOKUP(Переменные[[#This Row],[DUT id]],ИсходныеДанные,30,FALSE)</f>
        <v>Соотв.</v>
      </c>
      <c r="AE35" s="15" t="str">
        <f>VLOOKUP(Переменные[[#This Row],[DUT id]],ИсходныеДанные,31,FALSE)</f>
        <v>Заплавлено</v>
      </c>
      <c r="AF35" s="15" t="str">
        <f>VLOOKUP(Переменные[[#This Row],[DUT id]],ИсходныеДанные,32,FALSE)</f>
        <v>Соотв.</v>
      </c>
      <c r="AG35" s="15">
        <f>VLOOKUP(Переменные[[#This Row],[DUT id]],ИсходныеДанные,19,FALSE)</f>
        <v>0.31</v>
      </c>
      <c r="AH35" s="15" t="str">
        <f>VLOOKUP(Переменные[[#This Row],[DUT id]],ИсходныеДанные,37,FALSE)</f>
        <v>Соотв.</v>
      </c>
      <c r="AI35" s="15" t="str">
        <f>VLOOKUP(Переменные[[#This Row],[DUT id]],ИсходныеДанные,35,FALSE)</f>
        <v>Загрязнение отсутствует</v>
      </c>
      <c r="AJ35" s="15" t="str">
        <f>VLOOKUP(Переменные[[#This Row],[DUT id]],ИсходныеДанные,36,FALSE)</f>
        <v>Соотв.</v>
      </c>
      <c r="AK35" s="15">
        <f>VLOOKUP(Переменные[[#This Row],[DUT id]],ИсходныеДанные,33,FALSE)</f>
        <v>0</v>
      </c>
      <c r="AL35" s="15" t="str">
        <f>VLOOKUP(Переменные[[#This Row],[DUT id]],ИсходныеДанные,34,FALSE)</f>
        <v>Соотв.</v>
      </c>
      <c r="AM35" s="15">
        <f>VLOOKUP(Переменные[[#This Row],[DUT id]],ИсходныеДанные,24,FALSE)</f>
        <v>10</v>
      </c>
    </row>
    <row r="36" spans="1:39" ht="12" customHeight="1" thickBot="1" x14ac:dyDescent="0.3">
      <c r="A36" s="17" t="str">
        <f>Переменные[[#This Row],[TestReportID]]</f>
        <v>FM_OQ_03_10_3</v>
      </c>
      <c r="B36" s="8" t="str">
        <f t="shared" si="0"/>
        <v>да</v>
      </c>
      <c r="C36" s="8" t="str">
        <f t="shared" si="1"/>
        <v>Val_2 OQ Test Report template</v>
      </c>
      <c r="D36" s="9">
        <f t="shared" ca="1" si="2"/>
        <v>45807</v>
      </c>
      <c r="E36" s="8" t="str">
        <f t="shared" ca="1" si="3"/>
        <v>2025-05-30</v>
      </c>
      <c r="F36" s="8" t="str">
        <f t="shared" si="4"/>
        <v xml:space="preserve"> ☑  ☐  ☒ </v>
      </c>
      <c r="G36" s="18" t="str">
        <f>"FM_OQ_"&amp;Переменные[[#This Row],[DUT id]]</f>
        <v>FM_OQ_03_10_3</v>
      </c>
      <c r="H36" s="15" t="s">
        <v>58</v>
      </c>
      <c r="I36" s="16">
        <v>45803</v>
      </c>
      <c r="J36" s="15">
        <v>22</v>
      </c>
      <c r="K36" s="15">
        <v>65</v>
      </c>
      <c r="L36" s="15" t="str">
        <f>VLOOKUP(Переменные[[#This Row],[DUT id]],ИсходныеДанные,15,FALSE)</f>
        <v>Щипкова Елена</v>
      </c>
      <c r="M36" s="15" t="s">
        <v>325</v>
      </c>
      <c r="N36" s="15" t="s">
        <v>59</v>
      </c>
      <c r="O36" s="15" t="str">
        <f>VLOOKUP(Переменные[[#This Row],[DUT id]],ИсходныеДанные,4,FALSE)</f>
        <v>SN: 00241</v>
      </c>
      <c r="P36" s="15" t="str">
        <f>VLOOKUP(Переменные[[#This Row],[DUT id]],ИсходныеДанные,3,FALSE)</f>
        <v>LZM-100</v>
      </c>
      <c r="Q36" s="19" t="str">
        <f>VLOOKUP(Переменные[[#This Row],[DUT id]],ИсходныеДанные,5,FALSE)</f>
        <v> SP + 330 bit</v>
      </c>
      <c r="R36" s="19" t="str">
        <f>VLOOKUP(Переменные[[#This Row],[DUT id]],ИсходныеДанные,6,FALSE)</f>
        <v>30ms</v>
      </c>
      <c r="S36" s="19" t="str">
        <f>VLOOKUP(Переменные[[#This Row],[DUT id]],ИсходныеДанные,7,FALSE)</f>
        <v>6000ms</v>
      </c>
      <c r="T36" s="19" t="str">
        <f>VLOOKUP(Переменные[[#This Row],[DUT id]],ИсходныеДанные,8,FALSE)</f>
        <v> 0,120 гр/ms</v>
      </c>
      <c r="U36" s="19">
        <f>VLOOKUP(Переменные[[#This Row],[DUT id]],ИсходныеДанные,9,FALSE)</f>
        <v>0</v>
      </c>
      <c r="V36" s="19" t="str">
        <f>VLOOKUP(Переменные[[#This Row],[DUT id]],ИсходныеДанные,10,FALSE)</f>
        <v>LT_F + 1000 ms</v>
      </c>
      <c r="W36" s="15" t="s">
        <v>119</v>
      </c>
      <c r="X36" s="15" t="s">
        <v>136</v>
      </c>
      <c r="Y36" s="18" t="s">
        <v>137</v>
      </c>
      <c r="Z36" s="18" t="str">
        <f>VLOOKUP(Переменные[[#This Row],[DUT id]],ИсходныеДанные,27,FALSE)</f>
        <v>5,61/0/0/0</v>
      </c>
      <c r="AA36" s="15">
        <f>VLOOKUP(Переменные[[#This Row],[DUT id]],ИсходныеДанные,16,FALSE)</f>
        <v>1.41</v>
      </c>
      <c r="AB36" s="15" t="str">
        <f>VLOOKUP(Переменные[[#This Row],[DUT id]],ИсходныеДанные,28,FALSE)</f>
        <v>Соотв.</v>
      </c>
      <c r="AC36" s="15" t="str">
        <f>VLOOKUP(Переменные[[#This Row],[DUT id]],ИсходныеДанные,29,FALSE)</f>
        <v>Симмертично</v>
      </c>
      <c r="AD36" s="15" t="str">
        <f>VLOOKUP(Переменные[[#This Row],[DUT id]],ИсходныеДанные,30,FALSE)</f>
        <v>Соотв.</v>
      </c>
      <c r="AE36" s="15" t="str">
        <f>VLOOKUP(Переменные[[#This Row],[DUT id]],ИсходныеДанные,31,FALSE)</f>
        <v>Заплавлено</v>
      </c>
      <c r="AF36" s="15" t="str">
        <f>VLOOKUP(Переменные[[#This Row],[DUT id]],ИсходныеДанные,32,FALSE)</f>
        <v>Соотв.</v>
      </c>
      <c r="AG36" s="15">
        <f>VLOOKUP(Переменные[[#This Row],[DUT id]],ИсходныеДанные,19,FALSE)</f>
        <v>0.28000000000000003</v>
      </c>
      <c r="AH36" s="15" t="str">
        <f>VLOOKUP(Переменные[[#This Row],[DUT id]],ИсходныеДанные,37,FALSE)</f>
        <v>Соотв.</v>
      </c>
      <c r="AI36" s="15" t="str">
        <f>VLOOKUP(Переменные[[#This Row],[DUT id]],ИсходныеДанные,35,FALSE)</f>
        <v>Загрязнение отсутствует</v>
      </c>
      <c r="AJ36" s="15" t="str">
        <f>VLOOKUP(Переменные[[#This Row],[DUT id]],ИсходныеДанные,36,FALSE)</f>
        <v>Соотв.</v>
      </c>
      <c r="AK36" s="15">
        <f>VLOOKUP(Переменные[[#This Row],[DUT id]],ИсходныеДанные,33,FALSE)</f>
        <v>0</v>
      </c>
      <c r="AL36" s="15" t="str">
        <f>VLOOKUP(Переменные[[#This Row],[DUT id]],ИсходныеДанные,34,FALSE)</f>
        <v>Соотв.</v>
      </c>
      <c r="AM36" s="15">
        <f>VLOOKUP(Переменные[[#This Row],[DUT id]],ИсходныеДанные,24,FALSE)</f>
        <v>10</v>
      </c>
    </row>
    <row r="37" spans="1:39" ht="12" customHeight="1" thickBot="1" x14ac:dyDescent="0.3">
      <c r="A37" s="17" t="str">
        <f>Переменные[[#This Row],[TestReportID]]</f>
        <v>FM_OQ_03_12_1</v>
      </c>
      <c r="B37" s="8" t="str">
        <f t="shared" si="0"/>
        <v>да</v>
      </c>
      <c r="C37" s="8" t="str">
        <f t="shared" si="1"/>
        <v>Val_2 OQ Test Report template</v>
      </c>
      <c r="D37" s="9">
        <f t="shared" ca="1" si="2"/>
        <v>45807</v>
      </c>
      <c r="E37" s="8" t="str">
        <f t="shared" ca="1" si="3"/>
        <v>2025-05-30</v>
      </c>
      <c r="F37" s="8" t="str">
        <f t="shared" si="4"/>
        <v xml:space="preserve"> ☑  ☐  ☒ </v>
      </c>
      <c r="G37" s="18" t="str">
        <f>"FM_OQ_"&amp;Переменные[[#This Row],[DUT id]]</f>
        <v>FM_OQ_03_12_1</v>
      </c>
      <c r="H37" s="15" t="s">
        <v>58</v>
      </c>
      <c r="I37" s="16">
        <v>45803</v>
      </c>
      <c r="J37" s="15">
        <v>22</v>
      </c>
      <c r="K37" s="15">
        <v>65</v>
      </c>
      <c r="L37" s="15" t="str">
        <f>VLOOKUP(Переменные[[#This Row],[DUT id]],ИсходныеДанные,15,FALSE)</f>
        <v>Щипкова Елена</v>
      </c>
      <c r="M37" s="15" t="s">
        <v>325</v>
      </c>
      <c r="N37" s="15" t="s">
        <v>59</v>
      </c>
      <c r="O37" s="15" t="str">
        <f>VLOOKUP(Переменные[[#This Row],[DUT id]],ИсходныеДанные,4,FALSE)</f>
        <v>SN: 00241</v>
      </c>
      <c r="P37" s="15" t="str">
        <f>VLOOKUP(Переменные[[#This Row],[DUT id]],ИсходныеДанные,3,FALSE)</f>
        <v>LZM-100</v>
      </c>
      <c r="Q37" s="19" t="str">
        <f>VLOOKUP(Переменные[[#This Row],[DUT id]],ИсходныеДанные,5,FALSE)</f>
        <v> SP + 330 bit</v>
      </c>
      <c r="R37" s="19" t="str">
        <f>VLOOKUP(Переменные[[#This Row],[DUT id]],ИсходныеДанные,6,FALSE)</f>
        <v>40ms</v>
      </c>
      <c r="S37" s="19" t="str">
        <f>VLOOKUP(Переменные[[#This Row],[DUT id]],ИсходныеДанные,7,FALSE)</f>
        <v>6000ms</v>
      </c>
      <c r="T37" s="19" t="str">
        <f>VLOOKUP(Переменные[[#This Row],[DUT id]],ИсходныеДанные,8,FALSE)</f>
        <v>  0,145 гр/ms</v>
      </c>
      <c r="U37" s="19">
        <f>VLOOKUP(Переменные[[#This Row],[DUT id]],ИсходныеДанные,9,FALSE)</f>
        <v>0</v>
      </c>
      <c r="V37" s="19" t="str">
        <f>VLOOKUP(Переменные[[#This Row],[DUT id]],ИсходныеДанные,10,FALSE)</f>
        <v>LT_F + 1000 ms</v>
      </c>
      <c r="W37" s="15" t="s">
        <v>119</v>
      </c>
      <c r="X37" s="15" t="s">
        <v>138</v>
      </c>
      <c r="Y37" s="18" t="s">
        <v>139</v>
      </c>
      <c r="Z37" s="18" t="str">
        <f>VLOOKUP(Переменные[[#This Row],[DUT id]],ИсходныеДанные,27,FALSE)</f>
        <v>5,54/0/0/0</v>
      </c>
      <c r="AA37" s="15">
        <f>VLOOKUP(Переменные[[#This Row],[DUT id]],ИсходныеДанные,16,FALSE)</f>
        <v>1.42</v>
      </c>
      <c r="AB37" s="15" t="str">
        <f>VLOOKUP(Переменные[[#This Row],[DUT id]],ИсходныеДанные,28,FALSE)</f>
        <v>Соотв.</v>
      </c>
      <c r="AC37" s="15" t="str">
        <f>VLOOKUP(Переменные[[#This Row],[DUT id]],ИсходныеДанные,29,FALSE)</f>
        <v>Симмертично</v>
      </c>
      <c r="AD37" s="15" t="str">
        <f>VLOOKUP(Переменные[[#This Row],[DUT id]],ИсходныеДанные,30,FALSE)</f>
        <v>Соотв.</v>
      </c>
      <c r="AE37" s="15" t="str">
        <f>VLOOKUP(Переменные[[#This Row],[DUT id]],ИсходныеДанные,31,FALSE)</f>
        <v>Заплавлено</v>
      </c>
      <c r="AF37" s="15" t="str">
        <f>VLOOKUP(Переменные[[#This Row],[DUT id]],ИсходныеДанные,32,FALSE)</f>
        <v>Соотв.</v>
      </c>
      <c r="AG37" s="15">
        <f>VLOOKUP(Переменные[[#This Row],[DUT id]],ИсходныеДанные,19,FALSE)</f>
        <v>0.26</v>
      </c>
      <c r="AH37" s="15" t="str">
        <f>VLOOKUP(Переменные[[#This Row],[DUT id]],ИсходныеДанные,37,FALSE)</f>
        <v>Соотв.</v>
      </c>
      <c r="AI37" s="15" t="str">
        <f>VLOOKUP(Переменные[[#This Row],[DUT id]],ИсходныеДанные,35,FALSE)</f>
        <v>Загрязнение отсутствует</v>
      </c>
      <c r="AJ37" s="15" t="str">
        <f>VLOOKUP(Переменные[[#This Row],[DUT id]],ИсходныеДанные,36,FALSE)</f>
        <v>Соотв.</v>
      </c>
      <c r="AK37" s="15">
        <f>VLOOKUP(Переменные[[#This Row],[DUT id]],ИсходныеДанные,33,FALSE)</f>
        <v>0</v>
      </c>
      <c r="AL37" s="15" t="str">
        <f>VLOOKUP(Переменные[[#This Row],[DUT id]],ИсходныеДанные,34,FALSE)</f>
        <v>Соотв.</v>
      </c>
      <c r="AM37" s="15">
        <f>VLOOKUP(Переменные[[#This Row],[DUT id]],ИсходныеДанные,24,FALSE)</f>
        <v>10</v>
      </c>
    </row>
    <row r="38" spans="1:39" ht="12" customHeight="1" thickBot="1" x14ac:dyDescent="0.3">
      <c r="A38" s="17" t="str">
        <f>Переменные[[#This Row],[TestReportID]]</f>
        <v>FM_OQ_03_12_2</v>
      </c>
      <c r="B38" s="8" t="str">
        <f t="shared" si="0"/>
        <v>да</v>
      </c>
      <c r="C38" s="8" t="str">
        <f t="shared" si="1"/>
        <v>Val_2 OQ Test Report template</v>
      </c>
      <c r="D38" s="9">
        <f t="shared" ca="1" si="2"/>
        <v>45807</v>
      </c>
      <c r="E38" s="8" t="str">
        <f t="shared" ca="1" si="3"/>
        <v>2025-05-30</v>
      </c>
      <c r="F38" s="8" t="str">
        <f t="shared" si="4"/>
        <v xml:space="preserve"> ☑  ☐  ☒ </v>
      </c>
      <c r="G38" s="18" t="str">
        <f>"FM_OQ_"&amp;Переменные[[#This Row],[DUT id]]</f>
        <v>FM_OQ_03_12_2</v>
      </c>
      <c r="H38" s="15" t="s">
        <v>58</v>
      </c>
      <c r="I38" s="16">
        <v>45803</v>
      </c>
      <c r="J38" s="15">
        <v>22</v>
      </c>
      <c r="K38" s="15">
        <v>65</v>
      </c>
      <c r="L38" s="15" t="str">
        <f>VLOOKUP(Переменные[[#This Row],[DUT id]],ИсходныеДанные,15,FALSE)</f>
        <v>Щипкова Елена</v>
      </c>
      <c r="M38" s="15" t="s">
        <v>325</v>
      </c>
      <c r="N38" s="15" t="s">
        <v>59</v>
      </c>
      <c r="O38" s="15" t="str">
        <f>VLOOKUP(Переменные[[#This Row],[DUT id]],ИсходныеДанные,4,FALSE)</f>
        <v>SN: 00241</v>
      </c>
      <c r="P38" s="15" t="str">
        <f>VLOOKUP(Переменные[[#This Row],[DUT id]],ИсходныеДанные,3,FALSE)</f>
        <v>LZM-100</v>
      </c>
      <c r="Q38" s="19" t="str">
        <f>VLOOKUP(Переменные[[#This Row],[DUT id]],ИсходныеДанные,5,FALSE)</f>
        <v> SP + 330 bit</v>
      </c>
      <c r="R38" s="19" t="str">
        <f>VLOOKUP(Переменные[[#This Row],[DUT id]],ИсходныеДанные,6,FALSE)</f>
        <v>40ms</v>
      </c>
      <c r="S38" s="19" t="str">
        <f>VLOOKUP(Переменные[[#This Row],[DUT id]],ИсходныеДанные,7,FALSE)</f>
        <v>6000ms</v>
      </c>
      <c r="T38" s="19" t="str">
        <f>VLOOKUP(Переменные[[#This Row],[DUT id]],ИсходныеДанные,8,FALSE)</f>
        <v>  0,145 гр/ms</v>
      </c>
      <c r="U38" s="19">
        <f>VLOOKUP(Переменные[[#This Row],[DUT id]],ИсходныеДанные,9,FALSE)</f>
        <v>0</v>
      </c>
      <c r="V38" s="19" t="str">
        <f>VLOOKUP(Переменные[[#This Row],[DUT id]],ИсходныеДанные,10,FALSE)</f>
        <v>LT_F + 1000 ms</v>
      </c>
      <c r="W38" s="15" t="s">
        <v>119</v>
      </c>
      <c r="X38" s="15" t="s">
        <v>140</v>
      </c>
      <c r="Y38" s="18" t="s">
        <v>141</v>
      </c>
      <c r="Z38" s="18" t="str">
        <f>VLOOKUP(Переменные[[#This Row],[DUT id]],ИсходныеДанные,27,FALSE)</f>
        <v>5,75/0/0/0</v>
      </c>
      <c r="AA38" s="15">
        <f>VLOOKUP(Переменные[[#This Row],[DUT id]],ИсходныеДанные,16,FALSE)</f>
        <v>1.48</v>
      </c>
      <c r="AB38" s="15" t="str">
        <f>VLOOKUP(Переменные[[#This Row],[DUT id]],ИсходныеДанные,28,FALSE)</f>
        <v>Не соотв.</v>
      </c>
      <c r="AC38" s="15" t="str">
        <f>VLOOKUP(Переменные[[#This Row],[DUT id]],ИсходныеДанные,29,FALSE)</f>
        <v>Не симметрично</v>
      </c>
      <c r="AD38" s="15" t="str">
        <f>VLOOKUP(Переменные[[#This Row],[DUT id]],ИсходныеДанные,30,FALSE)</f>
        <v>Не соотв.</v>
      </c>
      <c r="AE38" s="15" t="str">
        <f>VLOOKUP(Переменные[[#This Row],[DUT id]],ИсходныеДанные,31,FALSE)</f>
        <v>Заплавлено</v>
      </c>
      <c r="AF38" s="15" t="str">
        <f>VLOOKUP(Переменные[[#This Row],[DUT id]],ИсходныеДанные,32,FALSE)</f>
        <v>Соотв.</v>
      </c>
      <c r="AG38" s="30">
        <f>VLOOKUP(Переменные[[#This Row],[DUT id]],ИсходныеДанные,19,FALSE)</f>
        <v>0.25</v>
      </c>
      <c r="AH38" s="15" t="str">
        <f>VLOOKUP(Переменные[[#This Row],[DUT id]],ИсходныеДанные,37,FALSE)</f>
        <v>Соотв.</v>
      </c>
      <c r="AI38" s="15" t="str">
        <f>VLOOKUP(Переменные[[#This Row],[DUT id]],ИсходныеДанные,35,FALSE)</f>
        <v>Загрязнение отсутствует</v>
      </c>
      <c r="AJ38" s="15" t="str">
        <f>VLOOKUP(Переменные[[#This Row],[DUT id]],ИсходныеДанные,36,FALSE)</f>
        <v>Соотв.</v>
      </c>
      <c r="AK38" s="15">
        <f>VLOOKUP(Переменные[[#This Row],[DUT id]],ИсходныеДанные,33,FALSE)</f>
        <v>0</v>
      </c>
      <c r="AL38" s="15" t="str">
        <f>VLOOKUP(Переменные[[#This Row],[DUT id]],ИсходныеДанные,34,FALSE)</f>
        <v>Соотв.</v>
      </c>
      <c r="AM38" s="15">
        <f>VLOOKUP(Переменные[[#This Row],[DUT id]],ИсходныеДанные,24,FALSE)</f>
        <v>2</v>
      </c>
    </row>
    <row r="39" spans="1:39" ht="12" customHeight="1" thickBot="1" x14ac:dyDescent="0.3">
      <c r="A39" s="17" t="str">
        <f>Переменные[[#This Row],[TestReportID]]</f>
        <v>FM_OQ_03_12_3</v>
      </c>
      <c r="B39" s="8" t="str">
        <f t="shared" si="0"/>
        <v>да</v>
      </c>
      <c r="C39" s="8" t="str">
        <f t="shared" si="1"/>
        <v>Val_2 OQ Test Report template</v>
      </c>
      <c r="D39" s="9">
        <f t="shared" ca="1" si="2"/>
        <v>45807</v>
      </c>
      <c r="E39" s="8" t="str">
        <f t="shared" ca="1" si="3"/>
        <v>2025-05-30</v>
      </c>
      <c r="F39" s="8" t="str">
        <f t="shared" si="4"/>
        <v xml:space="preserve"> ☑  ☐  ☒ </v>
      </c>
      <c r="G39" s="18" t="str">
        <f>"FM_OQ_"&amp;Переменные[[#This Row],[DUT id]]</f>
        <v>FM_OQ_03_12_3</v>
      </c>
      <c r="H39" s="15" t="s">
        <v>58</v>
      </c>
      <c r="I39" s="16">
        <v>45803</v>
      </c>
      <c r="J39" s="15">
        <v>22</v>
      </c>
      <c r="K39" s="15">
        <v>65</v>
      </c>
      <c r="L39" s="15" t="str">
        <f>VLOOKUP(Переменные[[#This Row],[DUT id]],ИсходныеДанные,15,FALSE)</f>
        <v>Щипкова Елена</v>
      </c>
      <c r="M39" s="15" t="s">
        <v>325</v>
      </c>
      <c r="N39" s="15" t="s">
        <v>59</v>
      </c>
      <c r="O39" s="15" t="str">
        <f>VLOOKUP(Переменные[[#This Row],[DUT id]],ИсходныеДанные,4,FALSE)</f>
        <v>SN: 00241</v>
      </c>
      <c r="P39" s="15" t="str">
        <f>VLOOKUP(Переменные[[#This Row],[DUT id]],ИсходныеДанные,3,FALSE)</f>
        <v>LZM-100</v>
      </c>
      <c r="Q39" s="19" t="str">
        <f>VLOOKUP(Переменные[[#This Row],[DUT id]],ИсходныеДанные,5,FALSE)</f>
        <v> SP + 330 bit</v>
      </c>
      <c r="R39" s="19" t="str">
        <f>VLOOKUP(Переменные[[#This Row],[DUT id]],ИсходныеДанные,6,FALSE)</f>
        <v>40ms</v>
      </c>
      <c r="S39" s="19" t="str">
        <f>VLOOKUP(Переменные[[#This Row],[DUT id]],ИсходныеДанные,7,FALSE)</f>
        <v>6000ms</v>
      </c>
      <c r="T39" s="19" t="str">
        <f>VLOOKUP(Переменные[[#This Row],[DUT id]],ИсходныеДанные,8,FALSE)</f>
        <v>  0,145 гр/ms</v>
      </c>
      <c r="U39" s="19">
        <f>VLOOKUP(Переменные[[#This Row],[DUT id]],ИсходныеДанные,9,FALSE)</f>
        <v>0</v>
      </c>
      <c r="V39" s="19" t="str">
        <f>VLOOKUP(Переменные[[#This Row],[DUT id]],ИсходныеДанные,10,FALSE)</f>
        <v>LT_F + 1000 ms</v>
      </c>
      <c r="W39" s="15" t="s">
        <v>119</v>
      </c>
      <c r="X39" s="15" t="s">
        <v>142</v>
      </c>
      <c r="Y39" s="18" t="s">
        <v>143</v>
      </c>
      <c r="Z39" s="18" t="str">
        <f>VLOOKUP(Переменные[[#This Row],[DUT id]],ИсходныеДанные,27,FALSE)</f>
        <v>6,19/0/0/0</v>
      </c>
      <c r="AA39" s="15">
        <f>VLOOKUP(Переменные[[#This Row],[DUT id]],ИсходныеДанные,16,FALSE)</f>
        <v>1.38</v>
      </c>
      <c r="AB39" s="15" t="str">
        <f>VLOOKUP(Переменные[[#This Row],[DUT id]],ИсходныеДанные,28,FALSE)</f>
        <v>Соотв.</v>
      </c>
      <c r="AC39" s="15" t="str">
        <f>VLOOKUP(Переменные[[#This Row],[DUT id]],ИсходныеДанные,29,FALSE)</f>
        <v>Симмертично</v>
      </c>
      <c r="AD39" s="15" t="str">
        <f>VLOOKUP(Переменные[[#This Row],[DUT id]],ИсходныеДанные,30,FALSE)</f>
        <v>Соотв.</v>
      </c>
      <c r="AE39" s="15" t="str">
        <f>VLOOKUP(Переменные[[#This Row],[DUT id]],ИсходныеДанные,31,FALSE)</f>
        <v>Заплавлено</v>
      </c>
      <c r="AF39" s="15" t="str">
        <f>VLOOKUP(Переменные[[#This Row],[DUT id]],ИсходныеДанные,32,FALSE)</f>
        <v>Соотв.</v>
      </c>
      <c r="AG39" s="15">
        <f>VLOOKUP(Переменные[[#This Row],[DUT id]],ИсходныеДанные,19,FALSE)</f>
        <v>0.26</v>
      </c>
      <c r="AH39" s="15" t="str">
        <f>VLOOKUP(Переменные[[#This Row],[DUT id]],ИсходныеДанные,37,FALSE)</f>
        <v>Соотв.</v>
      </c>
      <c r="AI39" s="15" t="str">
        <f>VLOOKUP(Переменные[[#This Row],[DUT id]],ИсходныеДанные,35,FALSE)</f>
        <v>Загрязнение отсутствует</v>
      </c>
      <c r="AJ39" s="15" t="str">
        <f>VLOOKUP(Переменные[[#This Row],[DUT id]],ИсходныеДанные,36,FALSE)</f>
        <v>Соотв.</v>
      </c>
      <c r="AK39" s="15">
        <f>VLOOKUP(Переменные[[#This Row],[DUT id]],ИсходныеДанные,33,FALSE)</f>
        <v>0</v>
      </c>
      <c r="AL39" s="15" t="str">
        <f>VLOOKUP(Переменные[[#This Row],[DUT id]],ИсходныеДанные,34,FALSE)</f>
        <v>Соотв.</v>
      </c>
      <c r="AM39" s="15">
        <f>VLOOKUP(Переменные[[#This Row],[DUT id]],ИсходныеДанные,24,FALSE)</f>
        <v>10</v>
      </c>
    </row>
    <row r="40" spans="1:39" ht="12" customHeight="1" thickBot="1" x14ac:dyDescent="0.3">
      <c r="A40" s="17" t="str">
        <f>Переменные[[#This Row],[TestReportID]]</f>
        <v>FM_OQ_03_14_1</v>
      </c>
      <c r="B40" s="8" t="str">
        <f t="shared" si="0"/>
        <v>да</v>
      </c>
      <c r="C40" s="8" t="str">
        <f t="shared" si="1"/>
        <v>Val_2 OQ Test Report template</v>
      </c>
      <c r="D40" s="9">
        <f t="shared" ca="1" si="2"/>
        <v>45807</v>
      </c>
      <c r="E40" s="8" t="str">
        <f t="shared" ca="1" si="3"/>
        <v>2025-05-30</v>
      </c>
      <c r="F40" s="8" t="str">
        <f t="shared" si="4"/>
        <v xml:space="preserve"> ☑  ☐  ☒ </v>
      </c>
      <c r="G40" s="18" t="str">
        <f>"FM_OQ_"&amp;Переменные[[#This Row],[DUT id]]</f>
        <v>FM_OQ_03_14_1</v>
      </c>
      <c r="H40" s="15" t="s">
        <v>58</v>
      </c>
      <c r="I40" s="16">
        <v>45803</v>
      </c>
      <c r="J40" s="15">
        <v>22</v>
      </c>
      <c r="K40" s="15">
        <v>65</v>
      </c>
      <c r="L40" s="15" t="str">
        <f>VLOOKUP(Переменные[[#This Row],[DUT id]],ИсходныеДанные,15,FALSE)</f>
        <v>Щипкова Елена</v>
      </c>
      <c r="M40" s="15" t="s">
        <v>325</v>
      </c>
      <c r="N40" s="15" t="s">
        <v>59</v>
      </c>
      <c r="O40" s="15" t="str">
        <f>VLOOKUP(Переменные[[#This Row],[DUT id]],ИсходныеДанные,4,FALSE)</f>
        <v>SN: 00241</v>
      </c>
      <c r="P40" s="15" t="str">
        <f>VLOOKUP(Переменные[[#This Row],[DUT id]],ИсходныеДанные,3,FALSE)</f>
        <v>LZM-100</v>
      </c>
      <c r="Q40" s="19" t="str">
        <f>VLOOKUP(Переменные[[#This Row],[DUT id]],ИсходныеДанные,5,FALSE)</f>
        <v> SP + 330 bit</v>
      </c>
      <c r="R40" s="19" t="str">
        <f>VLOOKUP(Переменные[[#This Row],[DUT id]],ИсходныеДанные,6,FALSE)</f>
        <v>30ms</v>
      </c>
      <c r="S40" s="19" t="str">
        <f>VLOOKUP(Переменные[[#This Row],[DUT id]],ИсходныеДанные,7,FALSE)</f>
        <v>8000ms</v>
      </c>
      <c r="T40" s="19" t="str">
        <f>VLOOKUP(Переменные[[#This Row],[DUT id]],ИсходныеДанные,8,FALSE)</f>
        <v> 0,120 гр/ms</v>
      </c>
      <c r="U40" s="19">
        <f>VLOOKUP(Переменные[[#This Row],[DUT id]],ИсходныеДанные,9,FALSE)</f>
        <v>0</v>
      </c>
      <c r="V40" s="19" t="str">
        <f>VLOOKUP(Переменные[[#This Row],[DUT id]],ИсходныеДанные,10,FALSE)</f>
        <v>LT_F + 2000 ms</v>
      </c>
      <c r="W40" s="15" t="s">
        <v>119</v>
      </c>
      <c r="X40" s="19" t="s">
        <v>144</v>
      </c>
      <c r="Y40" s="18" t="s">
        <v>145</v>
      </c>
      <c r="Z40" s="18" t="str">
        <f>VLOOKUP(Переменные[[#This Row],[DUT id]],ИсходныеДанные,27,FALSE)</f>
        <v>5,93/0/0/0</v>
      </c>
      <c r="AA40" s="15">
        <f>VLOOKUP(Переменные[[#This Row],[DUT id]],ИсходныеДанные,16,FALSE)</f>
        <v>1.41</v>
      </c>
      <c r="AB40" s="15" t="str">
        <f>VLOOKUP(Переменные[[#This Row],[DUT id]],ИсходныеДанные,28,FALSE)</f>
        <v>Соотв.</v>
      </c>
      <c r="AC40" s="15" t="str">
        <f>VLOOKUP(Переменные[[#This Row],[DUT id]],ИсходныеДанные,29,FALSE)</f>
        <v>Симмертично</v>
      </c>
      <c r="AD40" s="15" t="str">
        <f>VLOOKUP(Переменные[[#This Row],[DUT id]],ИсходныеДанные,30,FALSE)</f>
        <v>Соотв.</v>
      </c>
      <c r="AE40" s="15" t="str">
        <f>VLOOKUP(Переменные[[#This Row],[DUT id]],ИсходныеДанные,31,FALSE)</f>
        <v>Заплавлено</v>
      </c>
      <c r="AF40" s="15" t="str">
        <f>VLOOKUP(Переменные[[#This Row],[DUT id]],ИсходныеДанные,32,FALSE)</f>
        <v>Соотв.</v>
      </c>
      <c r="AG40" s="15">
        <f>VLOOKUP(Переменные[[#This Row],[DUT id]],ИсходныеДанные,19,FALSE)</f>
        <v>0.22</v>
      </c>
      <c r="AH40" s="15" t="str">
        <f>VLOOKUP(Переменные[[#This Row],[DUT id]],ИсходныеДанные,37,FALSE)</f>
        <v>Соотв.</v>
      </c>
      <c r="AI40" s="15" t="str">
        <f>VLOOKUP(Переменные[[#This Row],[DUT id]],ИсходныеДанные,35,FALSE)</f>
        <v>Загрязнение отсутствует</v>
      </c>
      <c r="AJ40" s="15" t="str">
        <f>VLOOKUP(Переменные[[#This Row],[DUT id]],ИсходныеДанные,36,FALSE)</f>
        <v>Соотв.</v>
      </c>
      <c r="AK40" s="15">
        <f>VLOOKUP(Переменные[[#This Row],[DUT id]],ИсходныеДанные,33,FALSE)</f>
        <v>0</v>
      </c>
      <c r="AL40" s="15" t="str">
        <f>VLOOKUP(Переменные[[#This Row],[DUT id]],ИсходныеДанные,34,FALSE)</f>
        <v>Соотв.</v>
      </c>
      <c r="AM40" s="15">
        <f>VLOOKUP(Переменные[[#This Row],[DUT id]],ИсходныеДанные,24,FALSE)</f>
        <v>8</v>
      </c>
    </row>
    <row r="41" spans="1:39" ht="12" customHeight="1" thickBot="1" x14ac:dyDescent="0.3">
      <c r="A41" s="17" t="str">
        <f>Переменные[[#This Row],[TestReportID]]</f>
        <v>FM_OQ_03_14_2</v>
      </c>
      <c r="B41" s="8" t="str">
        <f t="shared" si="0"/>
        <v>да</v>
      </c>
      <c r="C41" s="8" t="str">
        <f t="shared" si="1"/>
        <v>Val_2 OQ Test Report template</v>
      </c>
      <c r="D41" s="9">
        <f t="shared" ca="1" si="2"/>
        <v>45807</v>
      </c>
      <c r="E41" s="8" t="str">
        <f t="shared" ca="1" si="3"/>
        <v>2025-05-30</v>
      </c>
      <c r="F41" s="8" t="str">
        <f t="shared" si="4"/>
        <v xml:space="preserve"> ☑  ☐  ☒ </v>
      </c>
      <c r="G41" s="18" t="str">
        <f>"FM_OQ_"&amp;Переменные[[#This Row],[DUT id]]</f>
        <v>FM_OQ_03_14_2</v>
      </c>
      <c r="H41" s="15" t="s">
        <v>58</v>
      </c>
      <c r="I41" s="16">
        <v>45803</v>
      </c>
      <c r="J41" s="15">
        <v>22</v>
      </c>
      <c r="K41" s="15">
        <v>65</v>
      </c>
      <c r="L41" s="15" t="str">
        <f>VLOOKUP(Переменные[[#This Row],[DUT id]],ИсходныеДанные,15,FALSE)</f>
        <v>Щипкова Елена</v>
      </c>
      <c r="M41" s="15" t="s">
        <v>325</v>
      </c>
      <c r="N41" s="15" t="s">
        <v>59</v>
      </c>
      <c r="O41" s="15" t="str">
        <f>VLOOKUP(Переменные[[#This Row],[DUT id]],ИсходныеДанные,4,FALSE)</f>
        <v>SN: 00241</v>
      </c>
      <c r="P41" s="15" t="str">
        <f>VLOOKUP(Переменные[[#This Row],[DUT id]],ИсходныеДанные,3,FALSE)</f>
        <v>LZM-100</v>
      </c>
      <c r="Q41" s="19" t="str">
        <f>VLOOKUP(Переменные[[#This Row],[DUT id]],ИсходныеДанные,5,FALSE)</f>
        <v> SP + 330 bit</v>
      </c>
      <c r="R41" s="19" t="str">
        <f>VLOOKUP(Переменные[[#This Row],[DUT id]],ИсходныеДанные,6,FALSE)</f>
        <v>30ms</v>
      </c>
      <c r="S41" s="19" t="str">
        <f>VLOOKUP(Переменные[[#This Row],[DUT id]],ИсходныеДанные,7,FALSE)</f>
        <v>8000ms</v>
      </c>
      <c r="T41" s="19" t="str">
        <f>VLOOKUP(Переменные[[#This Row],[DUT id]],ИсходныеДанные,8,FALSE)</f>
        <v> 0,120 гр/ms</v>
      </c>
      <c r="U41" s="19">
        <f>VLOOKUP(Переменные[[#This Row],[DUT id]],ИсходныеДанные,9,FALSE)</f>
        <v>0</v>
      </c>
      <c r="V41" s="19" t="str">
        <f>VLOOKUP(Переменные[[#This Row],[DUT id]],ИсходныеДанные,10,FALSE)</f>
        <v>LT_F + 2000 ms</v>
      </c>
      <c r="W41" s="15" t="s">
        <v>119</v>
      </c>
      <c r="X41" s="19" t="s">
        <v>146</v>
      </c>
      <c r="Y41" s="18" t="s">
        <v>147</v>
      </c>
      <c r="Z41" s="18" t="str">
        <f>VLOOKUP(Переменные[[#This Row],[DUT id]],ИсходныеДанные,27,FALSE)</f>
        <v>5,66/0/0/0</v>
      </c>
      <c r="AA41" s="15">
        <f>VLOOKUP(Переменные[[#This Row],[DUT id]],ИсходныеДанные,16,FALSE)</f>
        <v>1.38</v>
      </c>
      <c r="AB41" s="15" t="str">
        <f>VLOOKUP(Переменные[[#This Row],[DUT id]],ИсходныеДанные,28,FALSE)</f>
        <v>Соотв.</v>
      </c>
      <c r="AC41" s="15" t="str">
        <f>VLOOKUP(Переменные[[#This Row],[DUT id]],ИсходныеДанные,29,FALSE)</f>
        <v>Симмертично</v>
      </c>
      <c r="AD41" s="15" t="str">
        <f>VLOOKUP(Переменные[[#This Row],[DUT id]],ИсходныеДанные,30,FALSE)</f>
        <v>Соотв.</v>
      </c>
      <c r="AE41" s="15" t="str">
        <f>VLOOKUP(Переменные[[#This Row],[DUT id]],ИсходныеДанные,31,FALSE)</f>
        <v>Заплавлено</v>
      </c>
      <c r="AF41" s="15" t="str">
        <f>VLOOKUP(Переменные[[#This Row],[DUT id]],ИсходныеДанные,32,FALSE)</f>
        <v>Соотв.</v>
      </c>
      <c r="AG41" s="15">
        <f>VLOOKUP(Переменные[[#This Row],[DUT id]],ИсходныеДанные,19,FALSE)</f>
        <v>0.27</v>
      </c>
      <c r="AH41" s="15" t="str">
        <f>VLOOKUP(Переменные[[#This Row],[DUT id]],ИсходныеДанные,37,FALSE)</f>
        <v>Соотв.</v>
      </c>
      <c r="AI41" s="15" t="str">
        <f>VLOOKUP(Переменные[[#This Row],[DUT id]],ИсходныеДанные,35,FALSE)</f>
        <v>Загрязнение отсутствует</v>
      </c>
      <c r="AJ41" s="15" t="str">
        <f>VLOOKUP(Переменные[[#This Row],[DUT id]],ИсходныеДанные,36,FALSE)</f>
        <v>Соотв.</v>
      </c>
      <c r="AK41" s="15">
        <f>VLOOKUP(Переменные[[#This Row],[DUT id]],ИсходныеДанные,33,FALSE)</f>
        <v>0</v>
      </c>
      <c r="AL41" s="15" t="str">
        <f>VLOOKUP(Переменные[[#This Row],[DUT id]],ИсходныеДанные,34,FALSE)</f>
        <v>Соотв.</v>
      </c>
      <c r="AM41" s="15">
        <f>VLOOKUP(Переменные[[#This Row],[DUT id]],ИсходныеДанные,24,FALSE)</f>
        <v>9</v>
      </c>
    </row>
    <row r="42" spans="1:39" ht="12" customHeight="1" thickBot="1" x14ac:dyDescent="0.3">
      <c r="A42" s="17" t="str">
        <f>Переменные[[#This Row],[TestReportID]]</f>
        <v>FM_OQ_03_14_3</v>
      </c>
      <c r="B42" s="8" t="str">
        <f t="shared" si="0"/>
        <v>да</v>
      </c>
      <c r="C42" s="8" t="str">
        <f t="shared" si="1"/>
        <v>Val_2 OQ Test Report template</v>
      </c>
      <c r="D42" s="9">
        <f t="shared" ca="1" si="2"/>
        <v>45807</v>
      </c>
      <c r="E42" s="8" t="str">
        <f t="shared" ca="1" si="3"/>
        <v>2025-05-30</v>
      </c>
      <c r="F42" s="8" t="str">
        <f t="shared" si="4"/>
        <v xml:space="preserve"> ☑  ☐  ☒ </v>
      </c>
      <c r="G42" s="18" t="str">
        <f>"FM_OQ_"&amp;Переменные[[#This Row],[DUT id]]</f>
        <v>FM_OQ_03_14_3</v>
      </c>
      <c r="H42" s="15" t="s">
        <v>58</v>
      </c>
      <c r="I42" s="16">
        <v>45803</v>
      </c>
      <c r="J42" s="15">
        <v>22</v>
      </c>
      <c r="K42" s="15">
        <v>65</v>
      </c>
      <c r="L42" s="15" t="str">
        <f>VLOOKUP(Переменные[[#This Row],[DUT id]],ИсходныеДанные,15,FALSE)</f>
        <v>Щипкова Елена</v>
      </c>
      <c r="M42" s="15" t="s">
        <v>325</v>
      </c>
      <c r="N42" s="15" t="s">
        <v>59</v>
      </c>
      <c r="O42" s="15" t="str">
        <f>VLOOKUP(Переменные[[#This Row],[DUT id]],ИсходныеДанные,4,FALSE)</f>
        <v>SN: 00241</v>
      </c>
      <c r="P42" s="15" t="str">
        <f>VLOOKUP(Переменные[[#This Row],[DUT id]],ИсходныеДанные,3,FALSE)</f>
        <v>LZM-100</v>
      </c>
      <c r="Q42" s="19" t="str">
        <f>VLOOKUP(Переменные[[#This Row],[DUT id]],ИсходныеДанные,5,FALSE)</f>
        <v> SP + 330 bit</v>
      </c>
      <c r="R42" s="19" t="str">
        <f>VLOOKUP(Переменные[[#This Row],[DUT id]],ИсходныеДанные,6,FALSE)</f>
        <v>30ms</v>
      </c>
      <c r="S42" s="19" t="str">
        <f>VLOOKUP(Переменные[[#This Row],[DUT id]],ИсходныеДанные,7,FALSE)</f>
        <v>8000ms</v>
      </c>
      <c r="T42" s="19" t="str">
        <f>VLOOKUP(Переменные[[#This Row],[DUT id]],ИсходныеДанные,8,FALSE)</f>
        <v> 0,120 гр/ms</v>
      </c>
      <c r="U42" s="19">
        <f>VLOOKUP(Переменные[[#This Row],[DUT id]],ИсходныеДанные,9,FALSE)</f>
        <v>0</v>
      </c>
      <c r="V42" s="19" t="str">
        <f>VLOOKUP(Переменные[[#This Row],[DUT id]],ИсходныеДанные,10,FALSE)</f>
        <v>LT_F + 2000 ms</v>
      </c>
      <c r="W42" s="15" t="s">
        <v>119</v>
      </c>
      <c r="X42" s="19" t="s">
        <v>148</v>
      </c>
      <c r="Y42" s="18" t="s">
        <v>149</v>
      </c>
      <c r="Z42" s="18" t="str">
        <f>VLOOKUP(Переменные[[#This Row],[DUT id]],ИсходныеДанные,27,FALSE)</f>
        <v>5,15/0/0/0</v>
      </c>
      <c r="AA42" s="15">
        <f>VLOOKUP(Переменные[[#This Row],[DUT id]],ИсходныеДанные,16,FALSE)</f>
        <v>1.4</v>
      </c>
      <c r="AB42" s="15" t="str">
        <f>VLOOKUP(Переменные[[#This Row],[DUT id]],ИсходныеДанные,28,FALSE)</f>
        <v>Соотв.</v>
      </c>
      <c r="AC42" s="15" t="str">
        <f>VLOOKUP(Переменные[[#This Row],[DUT id]],ИсходныеДанные,29,FALSE)</f>
        <v>Симмертично</v>
      </c>
      <c r="AD42" s="15" t="str">
        <f>VLOOKUP(Переменные[[#This Row],[DUT id]],ИсходныеДанные,30,FALSE)</f>
        <v>Соотв.</v>
      </c>
      <c r="AE42" s="15" t="str">
        <f>VLOOKUP(Переменные[[#This Row],[DUT id]],ИсходныеДанные,31,FALSE)</f>
        <v>Заплавлено</v>
      </c>
      <c r="AF42" s="15" t="str">
        <f>VLOOKUP(Переменные[[#This Row],[DUT id]],ИсходныеДанные,32,FALSE)</f>
        <v>Соотв.</v>
      </c>
      <c r="AG42" s="15">
        <f>VLOOKUP(Переменные[[#This Row],[DUT id]],ИсходныеДанные,19,FALSE)</f>
        <v>0.28000000000000003</v>
      </c>
      <c r="AH42" s="15" t="str">
        <f>VLOOKUP(Переменные[[#This Row],[DUT id]],ИсходныеДанные,37,FALSE)</f>
        <v>Соотв.</v>
      </c>
      <c r="AI42" s="15" t="str">
        <f>VLOOKUP(Переменные[[#This Row],[DUT id]],ИсходныеДанные,35,FALSE)</f>
        <v>Загрязнение отсутствует</v>
      </c>
      <c r="AJ42" s="15" t="str">
        <f>VLOOKUP(Переменные[[#This Row],[DUT id]],ИсходныеДанные,36,FALSE)</f>
        <v>Соотв.</v>
      </c>
      <c r="AK42" s="15">
        <f>VLOOKUP(Переменные[[#This Row],[DUT id]],ИсходныеДанные,33,FALSE)</f>
        <v>0</v>
      </c>
      <c r="AL42" s="15" t="str">
        <f>VLOOKUP(Переменные[[#This Row],[DUT id]],ИсходныеДанные,34,FALSE)</f>
        <v>Соотв.</v>
      </c>
      <c r="AM42" s="15">
        <f>VLOOKUP(Переменные[[#This Row],[DUT id]],ИсходныеДанные,24,FALSE)</f>
        <v>10</v>
      </c>
    </row>
    <row r="43" spans="1:39" ht="12" customHeight="1" thickBot="1" x14ac:dyDescent="0.3">
      <c r="A43" s="17" t="str">
        <f>Переменные[[#This Row],[TestReportID]]</f>
        <v>FM_OQ_03_13_1</v>
      </c>
      <c r="B43" s="8" t="str">
        <f t="shared" si="0"/>
        <v>да</v>
      </c>
      <c r="C43" s="8" t="str">
        <f t="shared" si="1"/>
        <v>Val_2 OQ Test Report template</v>
      </c>
      <c r="D43" s="9">
        <f t="shared" ca="1" si="2"/>
        <v>45807</v>
      </c>
      <c r="E43" s="8" t="str">
        <f t="shared" ca="1" si="3"/>
        <v>2025-05-30</v>
      </c>
      <c r="F43" s="8" t="str">
        <f t="shared" si="4"/>
        <v xml:space="preserve"> ☑  ☐  ☒ </v>
      </c>
      <c r="G43" s="18" t="str">
        <f>"FM_OQ_"&amp;Переменные[[#This Row],[DUT id]]</f>
        <v>FM_OQ_03_13_1</v>
      </c>
      <c r="H43" s="15" t="s">
        <v>58</v>
      </c>
      <c r="I43" s="16">
        <v>45803</v>
      </c>
      <c r="J43" s="15">
        <v>22</v>
      </c>
      <c r="K43" s="15">
        <v>65</v>
      </c>
      <c r="L43" s="15" t="str">
        <f>VLOOKUP(Переменные[[#This Row],[DUT id]],ИсходныеДанные,15,FALSE)</f>
        <v>Щипкова Елена</v>
      </c>
      <c r="M43" s="15" t="s">
        <v>325</v>
      </c>
      <c r="N43" s="15" t="s">
        <v>59</v>
      </c>
      <c r="O43" s="15" t="str">
        <f>VLOOKUP(Переменные[[#This Row],[DUT id]],ИсходныеДанные,4,FALSE)</f>
        <v>SN: 00241</v>
      </c>
      <c r="P43" s="15" t="str">
        <f>VLOOKUP(Переменные[[#This Row],[DUT id]],ИсходныеДанные,3,FALSE)</f>
        <v>LZM-100</v>
      </c>
      <c r="Q43" s="19" t="str">
        <f>VLOOKUP(Переменные[[#This Row],[DUT id]],ИсходныеДанные,5,FALSE)</f>
        <v>SP + 290 bit</v>
      </c>
      <c r="R43" s="19" t="str">
        <f>VLOOKUP(Переменные[[#This Row],[DUT id]],ИсходныеДанные,6,FALSE)</f>
        <v>30ms</v>
      </c>
      <c r="S43" s="19" t="str">
        <f>VLOOKUP(Переменные[[#This Row],[DUT id]],ИсходныеДанные,7,FALSE)</f>
        <v>8000ms</v>
      </c>
      <c r="T43" s="19" t="str">
        <f>VLOOKUP(Переменные[[#This Row],[DUT id]],ИсходныеДанные,8,FALSE)</f>
        <v>  0,145 гр/ms</v>
      </c>
      <c r="U43" s="19">
        <f>VLOOKUP(Переменные[[#This Row],[DUT id]],ИсходныеДанные,9,FALSE)</f>
        <v>0</v>
      </c>
      <c r="V43" s="19" t="str">
        <f>VLOOKUP(Переменные[[#This Row],[DUT id]],ИсходныеДанные,10,FALSE)</f>
        <v>LT_F + 1000 ms</v>
      </c>
      <c r="W43" s="15" t="s">
        <v>119</v>
      </c>
      <c r="X43" s="19" t="s">
        <v>150</v>
      </c>
      <c r="Y43" s="18" t="s">
        <v>151</v>
      </c>
      <c r="Z43" s="18" t="str">
        <f>VLOOKUP(Переменные[[#This Row],[DUT id]],ИсходныеДанные,27,FALSE)</f>
        <v>5,93/0/0/0</v>
      </c>
      <c r="AA43" s="15">
        <f>VLOOKUP(Переменные[[#This Row],[DUT id]],ИсходныеДанные,16,FALSE)</f>
        <v>1.4</v>
      </c>
      <c r="AB43" s="15" t="str">
        <f>VLOOKUP(Переменные[[#This Row],[DUT id]],ИсходныеДанные,28,FALSE)</f>
        <v>Соотв.</v>
      </c>
      <c r="AC43" s="15" t="str">
        <f>VLOOKUP(Переменные[[#This Row],[DUT id]],ИсходныеДанные,29,FALSE)</f>
        <v>Симмертично</v>
      </c>
      <c r="AD43" s="15" t="str">
        <f>VLOOKUP(Переменные[[#This Row],[DUT id]],ИсходныеДанные,30,FALSE)</f>
        <v>Соотв.</v>
      </c>
      <c r="AE43" s="15" t="str">
        <f>VLOOKUP(Переменные[[#This Row],[DUT id]],ИсходныеДанные,31,FALSE)</f>
        <v>Заплавлено</v>
      </c>
      <c r="AF43" s="15" t="str">
        <f>VLOOKUP(Переменные[[#This Row],[DUT id]],ИсходныеДанные,32,FALSE)</f>
        <v>Соотв.</v>
      </c>
      <c r="AG43" s="15">
        <f>VLOOKUP(Переменные[[#This Row],[DUT id]],ИсходныеДанные,19,FALSE)</f>
        <v>0.2</v>
      </c>
      <c r="AH43" s="15" t="str">
        <f>VLOOKUP(Переменные[[#This Row],[DUT id]],ИсходныеДанные,37,FALSE)</f>
        <v>Соотв.</v>
      </c>
      <c r="AI43" s="15" t="str">
        <f>VLOOKUP(Переменные[[#This Row],[DUT id]],ИсходныеДанные,35,FALSE)</f>
        <v>Загрязнение отсутствует</v>
      </c>
      <c r="AJ43" s="15" t="str">
        <f>VLOOKUP(Переменные[[#This Row],[DUT id]],ИсходныеДанные,36,FALSE)</f>
        <v>Соотв.</v>
      </c>
      <c r="AK43" s="15">
        <f>VLOOKUP(Переменные[[#This Row],[DUT id]],ИсходныеДанные,33,FALSE)</f>
        <v>0</v>
      </c>
      <c r="AL43" s="15" t="str">
        <f>VLOOKUP(Переменные[[#This Row],[DUT id]],ИсходныеДанные,34,FALSE)</f>
        <v>Соотв.</v>
      </c>
      <c r="AM43" s="15">
        <f>VLOOKUP(Переменные[[#This Row],[DUT id]],ИсходныеДанные,24,FALSE)</f>
        <v>10</v>
      </c>
    </row>
    <row r="44" spans="1:39" ht="12" customHeight="1" thickBot="1" x14ac:dyDescent="0.3">
      <c r="A44" s="17" t="str">
        <f>Переменные[[#This Row],[TestReportID]]</f>
        <v>FM_OQ_03_13_2</v>
      </c>
      <c r="B44" s="8" t="str">
        <f t="shared" si="0"/>
        <v>да</v>
      </c>
      <c r="C44" s="8" t="str">
        <f t="shared" si="1"/>
        <v>Val_2 OQ Test Report template</v>
      </c>
      <c r="D44" s="9">
        <f t="shared" ca="1" si="2"/>
        <v>45807</v>
      </c>
      <c r="E44" s="8" t="str">
        <f t="shared" ca="1" si="3"/>
        <v>2025-05-30</v>
      </c>
      <c r="F44" s="8" t="str">
        <f t="shared" si="4"/>
        <v xml:space="preserve"> ☑  ☐  ☒ </v>
      </c>
      <c r="G44" s="18" t="str">
        <f>"FM_OQ_"&amp;Переменные[[#This Row],[DUT id]]</f>
        <v>FM_OQ_03_13_2</v>
      </c>
      <c r="H44" s="15" t="s">
        <v>58</v>
      </c>
      <c r="I44" s="16">
        <v>45803</v>
      </c>
      <c r="J44" s="15">
        <v>22</v>
      </c>
      <c r="K44" s="15">
        <v>65</v>
      </c>
      <c r="L44" s="15" t="str">
        <f>VLOOKUP(Переменные[[#This Row],[DUT id]],ИсходныеДанные,15,FALSE)</f>
        <v>Щипкова Елена</v>
      </c>
      <c r="M44" s="15" t="s">
        <v>325</v>
      </c>
      <c r="N44" s="15" t="s">
        <v>59</v>
      </c>
      <c r="O44" s="15" t="str">
        <f>VLOOKUP(Переменные[[#This Row],[DUT id]],ИсходныеДанные,4,FALSE)</f>
        <v>SN: 00241</v>
      </c>
      <c r="P44" s="15" t="str">
        <f>VLOOKUP(Переменные[[#This Row],[DUT id]],ИсходныеДанные,3,FALSE)</f>
        <v>LZM-100</v>
      </c>
      <c r="Q44" s="19" t="str">
        <f>VLOOKUP(Переменные[[#This Row],[DUT id]],ИсходныеДанные,5,FALSE)</f>
        <v>SP + 290 bit</v>
      </c>
      <c r="R44" s="19" t="str">
        <f>VLOOKUP(Переменные[[#This Row],[DUT id]],ИсходныеДанные,6,FALSE)</f>
        <v>30ms</v>
      </c>
      <c r="S44" s="19" t="str">
        <f>VLOOKUP(Переменные[[#This Row],[DUT id]],ИсходныеДанные,7,FALSE)</f>
        <v>8000ms</v>
      </c>
      <c r="T44" s="19" t="str">
        <f>VLOOKUP(Переменные[[#This Row],[DUT id]],ИсходныеДанные,8,FALSE)</f>
        <v>  0,145 гр/ms</v>
      </c>
      <c r="U44" s="19">
        <f>VLOOKUP(Переменные[[#This Row],[DUT id]],ИсходныеДанные,9,FALSE)</f>
        <v>0</v>
      </c>
      <c r="V44" s="19" t="str">
        <f>VLOOKUP(Переменные[[#This Row],[DUT id]],ИсходныеДанные,10,FALSE)</f>
        <v>LT_F + 1000 ms</v>
      </c>
      <c r="W44" s="15" t="s">
        <v>119</v>
      </c>
      <c r="X44" s="19" t="s">
        <v>152</v>
      </c>
      <c r="Y44" s="18" t="s">
        <v>153</v>
      </c>
      <c r="Z44" s="18" t="str">
        <f>VLOOKUP(Переменные[[#This Row],[DUT id]],ИсходныеДанные,27,FALSE)</f>
        <v>5,22/0/0/0</v>
      </c>
      <c r="AA44" s="15">
        <f>VLOOKUP(Переменные[[#This Row],[DUT id]],ИсходныеДанные,16,FALSE)</f>
        <v>1.37</v>
      </c>
      <c r="AB44" s="15" t="str">
        <f>VLOOKUP(Переменные[[#This Row],[DUT id]],ИсходныеДанные,28,FALSE)</f>
        <v>Соотв.</v>
      </c>
      <c r="AC44" s="15" t="str">
        <f>VLOOKUP(Переменные[[#This Row],[DUT id]],ИсходныеДанные,29,FALSE)</f>
        <v>Симмертично</v>
      </c>
      <c r="AD44" s="15" t="str">
        <f>VLOOKUP(Переменные[[#This Row],[DUT id]],ИсходныеДанные,30,FALSE)</f>
        <v>Соотв.</v>
      </c>
      <c r="AE44" s="15" t="str">
        <f>VLOOKUP(Переменные[[#This Row],[DUT id]],ИсходныеДанные,31,FALSE)</f>
        <v>Заплавлено</v>
      </c>
      <c r="AF44" s="15" t="str">
        <f>VLOOKUP(Переменные[[#This Row],[DUT id]],ИсходныеДанные,32,FALSE)</f>
        <v>Соотв.</v>
      </c>
      <c r="AG44" s="15">
        <f>VLOOKUP(Переменные[[#This Row],[DUT id]],ИсходныеДанные,19,FALSE)</f>
        <v>0.2</v>
      </c>
      <c r="AH44" s="15" t="str">
        <f>VLOOKUP(Переменные[[#This Row],[DUT id]],ИсходныеДанные,37,FALSE)</f>
        <v>Соотв.</v>
      </c>
      <c r="AI44" s="15" t="str">
        <f>VLOOKUP(Переменные[[#This Row],[DUT id]],ИсходныеДанные,35,FALSE)</f>
        <v>Загрязнение отсутствует</v>
      </c>
      <c r="AJ44" s="15" t="str">
        <f>VLOOKUP(Переменные[[#This Row],[DUT id]],ИсходныеДанные,36,FALSE)</f>
        <v>Соотв.</v>
      </c>
      <c r="AK44" s="15">
        <f>VLOOKUP(Переменные[[#This Row],[DUT id]],ИсходныеДанные,33,FALSE)</f>
        <v>0</v>
      </c>
      <c r="AL44" s="15" t="str">
        <f>VLOOKUP(Переменные[[#This Row],[DUT id]],ИсходныеДанные,34,FALSE)</f>
        <v>Соотв.</v>
      </c>
      <c r="AM44" s="15">
        <f>VLOOKUP(Переменные[[#This Row],[DUT id]],ИсходныеДанные,24,FALSE)</f>
        <v>10</v>
      </c>
    </row>
    <row r="45" spans="1:39" ht="12" customHeight="1" thickBot="1" x14ac:dyDescent="0.3">
      <c r="A45" s="17" t="str">
        <f>Переменные[[#This Row],[TestReportID]]</f>
        <v>FM_OQ_03_13_3</v>
      </c>
      <c r="B45" s="8" t="str">
        <f t="shared" si="0"/>
        <v>да</v>
      </c>
      <c r="C45" s="8" t="str">
        <f t="shared" si="1"/>
        <v>Val_2 OQ Test Report template</v>
      </c>
      <c r="D45" s="9">
        <f t="shared" ca="1" si="2"/>
        <v>45807</v>
      </c>
      <c r="E45" s="8" t="str">
        <f t="shared" ca="1" si="3"/>
        <v>2025-05-30</v>
      </c>
      <c r="F45" s="8" t="str">
        <f t="shared" si="4"/>
        <v xml:space="preserve"> ☑  ☐  ☒ </v>
      </c>
      <c r="G45" s="18" t="str">
        <f>"FM_OQ_"&amp;Переменные[[#This Row],[DUT id]]</f>
        <v>FM_OQ_03_13_3</v>
      </c>
      <c r="H45" s="15" t="s">
        <v>58</v>
      </c>
      <c r="I45" s="16">
        <v>45803</v>
      </c>
      <c r="J45" s="15">
        <v>22</v>
      </c>
      <c r="K45" s="15">
        <v>65</v>
      </c>
      <c r="L45" s="15" t="str">
        <f>VLOOKUP(Переменные[[#This Row],[DUT id]],ИсходныеДанные,15,FALSE)</f>
        <v>Щипкова Елена</v>
      </c>
      <c r="M45" s="15" t="s">
        <v>325</v>
      </c>
      <c r="N45" s="15" t="s">
        <v>59</v>
      </c>
      <c r="O45" s="15" t="str">
        <f>VLOOKUP(Переменные[[#This Row],[DUT id]],ИсходныеДанные,4,FALSE)</f>
        <v>SN: 00241</v>
      </c>
      <c r="P45" s="15" t="str">
        <f>VLOOKUP(Переменные[[#This Row],[DUT id]],ИсходныеДанные,3,FALSE)</f>
        <v>LZM-100</v>
      </c>
      <c r="Q45" s="19" t="str">
        <f>VLOOKUP(Переменные[[#This Row],[DUT id]],ИсходныеДанные,5,FALSE)</f>
        <v>SP + 290 bit</v>
      </c>
      <c r="R45" s="19" t="str">
        <f>VLOOKUP(Переменные[[#This Row],[DUT id]],ИсходныеДанные,6,FALSE)</f>
        <v>30ms</v>
      </c>
      <c r="S45" s="19" t="str">
        <f>VLOOKUP(Переменные[[#This Row],[DUT id]],ИсходныеДанные,7,FALSE)</f>
        <v>8000ms</v>
      </c>
      <c r="T45" s="19" t="str">
        <f>VLOOKUP(Переменные[[#This Row],[DUT id]],ИсходныеДанные,8,FALSE)</f>
        <v>  0,145 гр/ms</v>
      </c>
      <c r="U45" s="19">
        <f>VLOOKUP(Переменные[[#This Row],[DUT id]],ИсходныеДанные,9,FALSE)</f>
        <v>0</v>
      </c>
      <c r="V45" s="19" t="str">
        <f>VLOOKUP(Переменные[[#This Row],[DUT id]],ИсходныеДанные,10,FALSE)</f>
        <v>LT_F + 1000 ms</v>
      </c>
      <c r="W45" s="15" t="s">
        <v>119</v>
      </c>
      <c r="X45" s="19" t="s">
        <v>154</v>
      </c>
      <c r="Y45" s="18" t="s">
        <v>155</v>
      </c>
      <c r="Z45" s="18" t="str">
        <f>VLOOKUP(Переменные[[#This Row],[DUT id]],ИсходныеДанные,27,FALSE)</f>
        <v>5,92/0/0/0</v>
      </c>
      <c r="AA45" s="15">
        <f>VLOOKUP(Переменные[[#This Row],[DUT id]],ИсходныеДанные,16,FALSE)</f>
        <v>1.35</v>
      </c>
      <c r="AB45" s="15" t="str">
        <f>VLOOKUP(Переменные[[#This Row],[DUT id]],ИсходныеДанные,28,FALSE)</f>
        <v>Соотв.</v>
      </c>
      <c r="AC45" s="15" t="str">
        <f>VLOOKUP(Переменные[[#This Row],[DUT id]],ИсходныеДанные,29,FALSE)</f>
        <v>Симмертично</v>
      </c>
      <c r="AD45" s="15" t="str">
        <f>VLOOKUP(Переменные[[#This Row],[DUT id]],ИсходныеДанные,30,FALSE)</f>
        <v>Соотв.</v>
      </c>
      <c r="AE45" s="15" t="str">
        <f>VLOOKUP(Переменные[[#This Row],[DUT id]],ИсходныеДанные,31,FALSE)</f>
        <v>Заплавлено</v>
      </c>
      <c r="AF45" s="15" t="str">
        <f>VLOOKUP(Переменные[[#This Row],[DUT id]],ИсходныеДанные,32,FALSE)</f>
        <v>Соотв.</v>
      </c>
      <c r="AG45" s="15">
        <f>VLOOKUP(Переменные[[#This Row],[DUT id]],ИсходныеДанные,19,FALSE)</f>
        <v>0.28999999999999998</v>
      </c>
      <c r="AH45" s="15" t="str">
        <f>VLOOKUP(Переменные[[#This Row],[DUT id]],ИсходныеДанные,37,FALSE)</f>
        <v>Соотв.</v>
      </c>
      <c r="AI45" s="15" t="str">
        <f>VLOOKUP(Переменные[[#This Row],[DUT id]],ИсходныеДанные,35,FALSE)</f>
        <v>Загрязнение отсутствует</v>
      </c>
      <c r="AJ45" s="15" t="str">
        <f>VLOOKUP(Переменные[[#This Row],[DUT id]],ИсходныеДанные,36,FALSE)</f>
        <v>Соотв.</v>
      </c>
      <c r="AK45" s="15">
        <f>VLOOKUP(Переменные[[#This Row],[DUT id]],ИсходныеДанные,33,FALSE)</f>
        <v>0</v>
      </c>
      <c r="AL45" s="15" t="str">
        <f>VLOOKUP(Переменные[[#This Row],[DUT id]],ИсходныеДанные,34,FALSE)</f>
        <v>Соотв.</v>
      </c>
      <c r="AM45" s="15">
        <f>VLOOKUP(Переменные[[#This Row],[DUT id]],ИсходныеДанные,24,FALSE)</f>
        <v>9.5</v>
      </c>
    </row>
    <row r="46" spans="1:39" ht="12" customHeight="1" thickBot="1" x14ac:dyDescent="0.3">
      <c r="A46" s="17" t="str">
        <f>Переменные[[#This Row],[TestReportID]]</f>
        <v>FM_OQ_03_15_1</v>
      </c>
      <c r="B46" s="8" t="str">
        <f t="shared" si="0"/>
        <v>да</v>
      </c>
      <c r="C46" s="8" t="str">
        <f t="shared" si="1"/>
        <v>Val_2 OQ Test Report template</v>
      </c>
      <c r="D46" s="9">
        <f t="shared" ca="1" si="2"/>
        <v>45807</v>
      </c>
      <c r="E46" s="8" t="str">
        <f t="shared" ca="1" si="3"/>
        <v>2025-05-30</v>
      </c>
      <c r="F46" s="8" t="str">
        <f t="shared" si="4"/>
        <v xml:space="preserve"> ☑  ☐  ☒ </v>
      </c>
      <c r="G46" s="18" t="str">
        <f>"FM_OQ_"&amp;Переменные[[#This Row],[DUT id]]</f>
        <v>FM_OQ_03_15_1</v>
      </c>
      <c r="H46" s="15" t="s">
        <v>58</v>
      </c>
      <c r="I46" s="16">
        <v>45803</v>
      </c>
      <c r="J46" s="15">
        <v>22</v>
      </c>
      <c r="K46" s="15">
        <v>65</v>
      </c>
      <c r="L46" s="15" t="str">
        <f>VLOOKUP(Переменные[[#This Row],[DUT id]],ИсходныеДанные,15,FALSE)</f>
        <v>Щипкова Елена</v>
      </c>
      <c r="M46" s="15" t="s">
        <v>325</v>
      </c>
      <c r="N46" s="15" t="s">
        <v>59</v>
      </c>
      <c r="O46" s="15" t="str">
        <f>VLOOKUP(Переменные[[#This Row],[DUT id]],ИсходныеДанные,4,FALSE)</f>
        <v>SN: 00241</v>
      </c>
      <c r="P46" s="15" t="str">
        <f>VLOOKUP(Переменные[[#This Row],[DUT id]],ИсходныеДанные,3,FALSE)</f>
        <v>LZM-100</v>
      </c>
      <c r="Q46" s="19" t="str">
        <f>VLOOKUP(Переменные[[#This Row],[DUT id]],ИсходныеДанные,5,FALSE)</f>
        <v>SP + 290 bit</v>
      </c>
      <c r="R46" s="19" t="str">
        <f>VLOOKUP(Переменные[[#This Row],[DUT id]],ИсходныеДанные,6,FALSE)</f>
        <v>40ms</v>
      </c>
      <c r="S46" s="19" t="str">
        <f>VLOOKUP(Переменные[[#This Row],[DUT id]],ИсходныеДанные,7,FALSE)</f>
        <v>8000ms</v>
      </c>
      <c r="T46" s="19" t="str">
        <f>VLOOKUP(Переменные[[#This Row],[DUT id]],ИсходныеДанные,8,FALSE)</f>
        <v> 0,120 гр/ms</v>
      </c>
      <c r="U46" s="19">
        <f>VLOOKUP(Переменные[[#This Row],[DUT id]],ИсходныеДанные,9,FALSE)</f>
        <v>0</v>
      </c>
      <c r="V46" s="19" t="str">
        <f>VLOOKUP(Переменные[[#This Row],[DUT id]],ИсходныеДанные,10,FALSE)</f>
        <v>LT_F + 1000 ms</v>
      </c>
      <c r="W46" s="15" t="s">
        <v>119</v>
      </c>
      <c r="X46" s="19" t="s">
        <v>156</v>
      </c>
      <c r="Y46" s="18" t="s">
        <v>157</v>
      </c>
      <c r="Z46" s="18" t="str">
        <f>VLOOKUP(Переменные[[#This Row],[DUT id]],ИсходныеДанные,27,FALSE)</f>
        <v>6,18/0/0/0</v>
      </c>
      <c r="AA46" s="15">
        <f>VLOOKUP(Переменные[[#This Row],[DUT id]],ИсходныеДанные,16,FALSE)</f>
        <v>1.35</v>
      </c>
      <c r="AB46" s="15" t="str">
        <f>VLOOKUP(Переменные[[#This Row],[DUT id]],ИсходныеДанные,28,FALSE)</f>
        <v>Соотв.</v>
      </c>
      <c r="AC46" s="15" t="str">
        <f>VLOOKUP(Переменные[[#This Row],[DUT id]],ИсходныеДанные,29,FALSE)</f>
        <v>Симмертично</v>
      </c>
      <c r="AD46" s="15" t="str">
        <f>VLOOKUP(Переменные[[#This Row],[DUT id]],ИсходныеДанные,30,FALSE)</f>
        <v>Соотв.</v>
      </c>
      <c r="AE46" s="15" t="str">
        <f>VLOOKUP(Переменные[[#This Row],[DUT id]],ИсходныеДанные,31,FALSE)</f>
        <v>Заплавлено</v>
      </c>
      <c r="AF46" s="15" t="str">
        <f>VLOOKUP(Переменные[[#This Row],[DUT id]],ИсходныеДанные,32,FALSE)</f>
        <v>Соотв.</v>
      </c>
      <c r="AG46" s="15">
        <f>VLOOKUP(Переменные[[#This Row],[DUT id]],ИсходныеДанные,19,FALSE)</f>
        <v>0.28000000000000003</v>
      </c>
      <c r="AH46" s="15" t="str">
        <f>VLOOKUP(Переменные[[#This Row],[DUT id]],ИсходныеДанные,37,FALSE)</f>
        <v>Соотв.</v>
      </c>
      <c r="AI46" s="15" t="str">
        <f>VLOOKUP(Переменные[[#This Row],[DUT id]],ИсходныеДанные,35,FALSE)</f>
        <v>Загрязнение отсутствует</v>
      </c>
      <c r="AJ46" s="15" t="str">
        <f>VLOOKUP(Переменные[[#This Row],[DUT id]],ИсходныеДанные,36,FALSE)</f>
        <v>Соотв.</v>
      </c>
      <c r="AK46" s="15">
        <f>VLOOKUP(Переменные[[#This Row],[DUT id]],ИсходныеДанные,33,FALSE)</f>
        <v>0</v>
      </c>
      <c r="AL46" s="15" t="str">
        <f>VLOOKUP(Переменные[[#This Row],[DUT id]],ИсходныеДанные,34,FALSE)</f>
        <v>Соотв.</v>
      </c>
      <c r="AM46" s="15">
        <f>VLOOKUP(Переменные[[#This Row],[DUT id]],ИсходныеДанные,24,FALSE)</f>
        <v>10</v>
      </c>
    </row>
    <row r="47" spans="1:39" ht="12" customHeight="1" thickBot="1" x14ac:dyDescent="0.3">
      <c r="A47" s="17" t="str">
        <f>Переменные[[#This Row],[TestReportID]]</f>
        <v>FM_OQ_03_15_2</v>
      </c>
      <c r="B47" s="8" t="str">
        <f t="shared" si="0"/>
        <v>да</v>
      </c>
      <c r="C47" s="8" t="str">
        <f t="shared" si="1"/>
        <v>Val_2 OQ Test Report template</v>
      </c>
      <c r="D47" s="9">
        <f t="shared" ca="1" si="2"/>
        <v>45807</v>
      </c>
      <c r="E47" s="8" t="str">
        <f t="shared" ca="1" si="3"/>
        <v>2025-05-30</v>
      </c>
      <c r="F47" s="8" t="str">
        <f t="shared" si="4"/>
        <v xml:space="preserve"> ☑  ☐  ☒ </v>
      </c>
      <c r="G47" s="18" t="str">
        <f>"FM_OQ_"&amp;Переменные[[#This Row],[DUT id]]</f>
        <v>FM_OQ_03_15_2</v>
      </c>
      <c r="H47" s="15" t="s">
        <v>58</v>
      </c>
      <c r="I47" s="16">
        <v>45803</v>
      </c>
      <c r="J47" s="15">
        <v>22</v>
      </c>
      <c r="K47" s="15">
        <v>65</v>
      </c>
      <c r="L47" s="15" t="str">
        <f>VLOOKUP(Переменные[[#This Row],[DUT id]],ИсходныеДанные,15,FALSE)</f>
        <v>Щипкова Елена</v>
      </c>
      <c r="M47" s="15" t="s">
        <v>325</v>
      </c>
      <c r="N47" s="15" t="s">
        <v>59</v>
      </c>
      <c r="O47" s="15" t="str">
        <f>VLOOKUP(Переменные[[#This Row],[DUT id]],ИсходныеДанные,4,FALSE)</f>
        <v>SN: 00241</v>
      </c>
      <c r="P47" s="15" t="str">
        <f>VLOOKUP(Переменные[[#This Row],[DUT id]],ИсходныеДанные,3,FALSE)</f>
        <v>LZM-100</v>
      </c>
      <c r="Q47" s="19" t="str">
        <f>VLOOKUP(Переменные[[#This Row],[DUT id]],ИсходныеДанные,5,FALSE)</f>
        <v>SP + 290 bit</v>
      </c>
      <c r="R47" s="19" t="str">
        <f>VLOOKUP(Переменные[[#This Row],[DUT id]],ИсходныеДанные,6,FALSE)</f>
        <v>40ms</v>
      </c>
      <c r="S47" s="19" t="str">
        <f>VLOOKUP(Переменные[[#This Row],[DUT id]],ИсходныеДанные,7,FALSE)</f>
        <v>8000ms</v>
      </c>
      <c r="T47" s="19" t="str">
        <f>VLOOKUP(Переменные[[#This Row],[DUT id]],ИсходныеДанные,8,FALSE)</f>
        <v> 0,120 гр/ms</v>
      </c>
      <c r="U47" s="19">
        <f>VLOOKUP(Переменные[[#This Row],[DUT id]],ИсходныеДанные,9,FALSE)</f>
        <v>0</v>
      </c>
      <c r="V47" s="19" t="str">
        <f>VLOOKUP(Переменные[[#This Row],[DUT id]],ИсходныеДанные,10,FALSE)</f>
        <v>LT_F + 1000 ms</v>
      </c>
      <c r="W47" s="15" t="s">
        <v>119</v>
      </c>
      <c r="X47" s="19" t="s">
        <v>158</v>
      </c>
      <c r="Y47" s="18" t="s">
        <v>159</v>
      </c>
      <c r="Z47" s="18" t="str">
        <f>VLOOKUP(Переменные[[#This Row],[DUT id]],ИсходныеДанные,27,FALSE)</f>
        <v>5,21/0/0/0</v>
      </c>
      <c r="AA47" s="15">
        <f>VLOOKUP(Переменные[[#This Row],[DUT id]],ИсходныеДанные,16,FALSE)</f>
        <v>1.37</v>
      </c>
      <c r="AB47" s="15" t="str">
        <f>VLOOKUP(Переменные[[#This Row],[DUT id]],ИсходныеДанные,28,FALSE)</f>
        <v>Соотв.</v>
      </c>
      <c r="AC47" s="15" t="str">
        <f>VLOOKUP(Переменные[[#This Row],[DUT id]],ИсходныеДанные,29,FALSE)</f>
        <v>Симмертично</v>
      </c>
      <c r="AD47" s="15" t="str">
        <f>VLOOKUP(Переменные[[#This Row],[DUT id]],ИсходныеДанные,30,FALSE)</f>
        <v>Соотв.</v>
      </c>
      <c r="AE47" s="15" t="str">
        <f>VLOOKUP(Переменные[[#This Row],[DUT id]],ИсходныеДанные,31,FALSE)</f>
        <v>Заплавлено</v>
      </c>
      <c r="AF47" s="15" t="str">
        <f>VLOOKUP(Переменные[[#This Row],[DUT id]],ИсходныеДанные,32,FALSE)</f>
        <v>Соотв.</v>
      </c>
      <c r="AG47" s="15">
        <f>VLOOKUP(Переменные[[#This Row],[DUT id]],ИсходныеДанные,19,FALSE)</f>
        <v>0.26</v>
      </c>
      <c r="AH47" s="15" t="str">
        <f>VLOOKUP(Переменные[[#This Row],[DUT id]],ИсходныеДанные,37,FALSE)</f>
        <v>Соотв.</v>
      </c>
      <c r="AI47" s="15" t="str">
        <f>VLOOKUP(Переменные[[#This Row],[DUT id]],ИсходныеДанные,35,FALSE)</f>
        <v>Загрязнение отсутствует</v>
      </c>
      <c r="AJ47" s="15" t="str">
        <f>VLOOKUP(Переменные[[#This Row],[DUT id]],ИсходныеДанные,36,FALSE)</f>
        <v>Соотв.</v>
      </c>
      <c r="AK47" s="15">
        <f>VLOOKUP(Переменные[[#This Row],[DUT id]],ИсходныеДанные,33,FALSE)</f>
        <v>0</v>
      </c>
      <c r="AL47" s="15" t="str">
        <f>VLOOKUP(Переменные[[#This Row],[DUT id]],ИсходныеДанные,34,FALSE)</f>
        <v>Соотв.</v>
      </c>
      <c r="AM47" s="15">
        <f>VLOOKUP(Переменные[[#This Row],[DUT id]],ИсходныеДанные,24,FALSE)</f>
        <v>10</v>
      </c>
    </row>
    <row r="48" spans="1:39" ht="12" customHeight="1" thickBot="1" x14ac:dyDescent="0.3">
      <c r="A48" s="17" t="str">
        <f>Переменные[[#This Row],[TestReportID]]</f>
        <v>FM_OQ_03_15_3</v>
      </c>
      <c r="B48" s="8" t="str">
        <f t="shared" si="0"/>
        <v>да</v>
      </c>
      <c r="C48" s="8" t="str">
        <f t="shared" si="1"/>
        <v>Val_2 OQ Test Report template</v>
      </c>
      <c r="D48" s="9">
        <f t="shared" ca="1" si="2"/>
        <v>45807</v>
      </c>
      <c r="E48" s="8" t="str">
        <f t="shared" ca="1" si="3"/>
        <v>2025-05-30</v>
      </c>
      <c r="F48" s="8" t="str">
        <f t="shared" si="4"/>
        <v xml:space="preserve"> ☑  ☐  ☒ </v>
      </c>
      <c r="G48" s="18" t="str">
        <f>"FM_OQ_"&amp;Переменные[[#This Row],[DUT id]]</f>
        <v>FM_OQ_03_15_3</v>
      </c>
      <c r="H48" s="15" t="s">
        <v>58</v>
      </c>
      <c r="I48" s="16">
        <v>45803</v>
      </c>
      <c r="J48" s="15">
        <v>22</v>
      </c>
      <c r="K48" s="15">
        <v>65</v>
      </c>
      <c r="L48" s="15" t="str">
        <f>VLOOKUP(Переменные[[#This Row],[DUT id]],ИсходныеДанные,15,FALSE)</f>
        <v>Щипкова Елена</v>
      </c>
      <c r="M48" s="15" t="s">
        <v>325</v>
      </c>
      <c r="N48" s="15" t="s">
        <v>59</v>
      </c>
      <c r="O48" s="15" t="str">
        <f>VLOOKUP(Переменные[[#This Row],[DUT id]],ИсходныеДанные,4,FALSE)</f>
        <v>SN: 00241</v>
      </c>
      <c r="P48" s="15" t="str">
        <f>VLOOKUP(Переменные[[#This Row],[DUT id]],ИсходныеДанные,3,FALSE)</f>
        <v>LZM-100</v>
      </c>
      <c r="Q48" s="19" t="str">
        <f>VLOOKUP(Переменные[[#This Row],[DUT id]],ИсходныеДанные,5,FALSE)</f>
        <v>SP + 290 bit</v>
      </c>
      <c r="R48" s="19" t="str">
        <f>VLOOKUP(Переменные[[#This Row],[DUT id]],ИсходныеДанные,6,FALSE)</f>
        <v>40ms</v>
      </c>
      <c r="S48" s="19" t="str">
        <f>VLOOKUP(Переменные[[#This Row],[DUT id]],ИсходныеДанные,7,FALSE)</f>
        <v>8000ms</v>
      </c>
      <c r="T48" s="19" t="str">
        <f>VLOOKUP(Переменные[[#This Row],[DUT id]],ИсходныеДанные,8,FALSE)</f>
        <v> 0,120 гр/ms</v>
      </c>
      <c r="U48" s="19">
        <f>VLOOKUP(Переменные[[#This Row],[DUT id]],ИсходныеДанные,9,FALSE)</f>
        <v>0</v>
      </c>
      <c r="V48" s="19" t="str">
        <f>VLOOKUP(Переменные[[#This Row],[DUT id]],ИсходныеДанные,10,FALSE)</f>
        <v>LT_F + 1000 ms</v>
      </c>
      <c r="W48" s="15" t="s">
        <v>119</v>
      </c>
      <c r="X48" s="19" t="s">
        <v>160</v>
      </c>
      <c r="Y48" s="18" t="s">
        <v>161</v>
      </c>
      <c r="Z48" s="18" t="str">
        <f>VLOOKUP(Переменные[[#This Row],[DUT id]],ИсходныеДанные,27,FALSE)</f>
        <v>5,58/5,65/5,46/0</v>
      </c>
      <c r="AA48" s="15">
        <f>VLOOKUP(Переменные[[#This Row],[DUT id]],ИсходныеДанные,16,FALSE)</f>
        <v>1.4</v>
      </c>
      <c r="AB48" s="15" t="str">
        <f>VLOOKUP(Переменные[[#This Row],[DUT id]],ИсходныеДанные,28,FALSE)</f>
        <v>Соотв.</v>
      </c>
      <c r="AC48" s="15" t="str">
        <f>VLOOKUP(Переменные[[#This Row],[DUT id]],ИсходныеДанные,29,FALSE)</f>
        <v>Симмертично</v>
      </c>
      <c r="AD48" s="15" t="str">
        <f>VLOOKUP(Переменные[[#This Row],[DUT id]],ИсходныеДанные,30,FALSE)</f>
        <v>Соотв.</v>
      </c>
      <c r="AE48" s="15" t="str">
        <f>VLOOKUP(Переменные[[#This Row],[DUT id]],ИсходныеДанные,31,FALSE)</f>
        <v>Заплавлено</v>
      </c>
      <c r="AF48" s="15" t="str">
        <f>VLOOKUP(Переменные[[#This Row],[DUT id]],ИсходныеДанные,32,FALSE)</f>
        <v>Соотв.</v>
      </c>
      <c r="AG48" s="15">
        <f>VLOOKUP(Переменные[[#This Row],[DUT id]],ИсходныеДанные,19,FALSE)</f>
        <v>0.22</v>
      </c>
      <c r="AH48" s="15" t="str">
        <f>VLOOKUP(Переменные[[#This Row],[DUT id]],ИсходныеДанные,37,FALSE)</f>
        <v>Соотв.</v>
      </c>
      <c r="AI48" s="15" t="str">
        <f>VLOOKUP(Переменные[[#This Row],[DUT id]],ИсходныеДанные,35,FALSE)</f>
        <v>Загрязнение отсутствует</v>
      </c>
      <c r="AJ48" s="15" t="str">
        <f>VLOOKUP(Переменные[[#This Row],[DUT id]],ИсходныеДанные,36,FALSE)</f>
        <v>Соотв.</v>
      </c>
      <c r="AK48" s="15">
        <f>VLOOKUP(Переменные[[#This Row],[DUT id]],ИсходныеДанные,33,FALSE)</f>
        <v>2</v>
      </c>
      <c r="AL48" s="15" t="str">
        <f>VLOOKUP(Переменные[[#This Row],[DUT id]],ИсходныеДанные,34,FALSE)</f>
        <v>Соотв.</v>
      </c>
      <c r="AM48" s="15">
        <f>VLOOKUP(Переменные[[#This Row],[DUT id]],ИсходныеДанные,24,FALSE)</f>
        <v>10</v>
      </c>
    </row>
    <row r="49" spans="1:39" ht="12" customHeight="1" thickBot="1" x14ac:dyDescent="0.3">
      <c r="A49" s="17" t="str">
        <f>Переменные[[#This Row],[TestReportID]]</f>
        <v>FM_OQ_03_11_1</v>
      </c>
      <c r="B49" s="8" t="str">
        <f t="shared" si="0"/>
        <v>да</v>
      </c>
      <c r="C49" s="8" t="str">
        <f t="shared" si="1"/>
        <v>Val_2 OQ Test Report template</v>
      </c>
      <c r="D49" s="9">
        <f t="shared" ca="1" si="2"/>
        <v>45807</v>
      </c>
      <c r="E49" s="8" t="str">
        <f t="shared" ca="1" si="3"/>
        <v>2025-05-30</v>
      </c>
      <c r="F49" s="8" t="str">
        <f t="shared" si="4"/>
        <v xml:space="preserve"> ☑  ☐  ☒ </v>
      </c>
      <c r="G49" s="18" t="str">
        <f>"FM_OQ_"&amp;Переменные[[#This Row],[DUT id]]</f>
        <v>FM_OQ_03_11_1</v>
      </c>
      <c r="H49" s="15" t="s">
        <v>58</v>
      </c>
      <c r="I49" s="16">
        <v>45803</v>
      </c>
      <c r="J49" s="15">
        <v>22</v>
      </c>
      <c r="K49" s="15">
        <v>65</v>
      </c>
      <c r="L49" s="15" t="str">
        <f>VLOOKUP(Переменные[[#This Row],[DUT id]],ИсходныеДанные,15,FALSE)</f>
        <v>Щипкова Елена</v>
      </c>
      <c r="M49" s="15" t="s">
        <v>325</v>
      </c>
      <c r="N49" s="15" t="s">
        <v>59</v>
      </c>
      <c r="O49" s="15" t="str">
        <f>VLOOKUP(Переменные[[#This Row],[DUT id]],ИсходныеДанные,4,FALSE)</f>
        <v>SN: 00241</v>
      </c>
      <c r="P49" s="15" t="str">
        <f>VLOOKUP(Переменные[[#This Row],[DUT id]],ИсходныеДанные,3,FALSE)</f>
        <v>LZM-100</v>
      </c>
      <c r="Q49" s="19" t="str">
        <f>VLOOKUP(Переменные[[#This Row],[DUT id]],ИсходныеДанные,5,FALSE)</f>
        <v>SP + 290 bit</v>
      </c>
      <c r="R49" s="19" t="str">
        <f>VLOOKUP(Переменные[[#This Row],[DUT id]],ИсходныеДанные,6,FALSE)</f>
        <v>40ms</v>
      </c>
      <c r="S49" s="19" t="str">
        <f>VLOOKUP(Переменные[[#This Row],[DUT id]],ИсходныеДанные,7,FALSE)</f>
        <v>6000ms</v>
      </c>
      <c r="T49" s="19" t="str">
        <f>VLOOKUP(Переменные[[#This Row],[DUT id]],ИсходныеДанные,8,FALSE)</f>
        <v> 0,120 гр/ms</v>
      </c>
      <c r="U49" s="19">
        <f>VLOOKUP(Переменные[[#This Row],[DUT id]],ИсходныеДанные,9,FALSE)</f>
        <v>0</v>
      </c>
      <c r="V49" s="19" t="str">
        <f>VLOOKUP(Переменные[[#This Row],[DUT id]],ИсходныеДанные,10,FALSE)</f>
        <v>LT_F + 2000 ms</v>
      </c>
      <c r="W49" s="15" t="s">
        <v>119</v>
      </c>
      <c r="X49" s="19" t="s">
        <v>162</v>
      </c>
      <c r="Y49" s="18" t="s">
        <v>163</v>
      </c>
      <c r="Z49" s="18" t="str">
        <f>VLOOKUP(Переменные[[#This Row],[DUT id]],ИсходныеДанные,27,FALSE)</f>
        <v>5,58/0/0/0</v>
      </c>
      <c r="AA49" s="15">
        <f>VLOOKUP(Переменные[[#This Row],[DUT id]],ИсходныеДанные,16,FALSE)</f>
        <v>1.44</v>
      </c>
      <c r="AB49" s="15" t="str">
        <f>VLOOKUP(Переменные[[#This Row],[DUT id]],ИсходныеДанные,28,FALSE)</f>
        <v>Соотв.</v>
      </c>
      <c r="AC49" s="15" t="str">
        <f>VLOOKUP(Переменные[[#This Row],[DUT id]],ИсходныеДанные,29,FALSE)</f>
        <v>Не симметрично</v>
      </c>
      <c r="AD49" s="15" t="str">
        <f>VLOOKUP(Переменные[[#This Row],[DUT id]],ИсходныеДанные,30,FALSE)</f>
        <v>Не соотв.</v>
      </c>
      <c r="AE49" s="15" t="str">
        <f>VLOOKUP(Переменные[[#This Row],[DUT id]],ИсходныеДанные,31,FALSE)</f>
        <v>Не заплавлено</v>
      </c>
      <c r="AF49" s="15" t="str">
        <f>VLOOKUP(Переменные[[#This Row],[DUT id]],ИсходныеДанные,32,FALSE)</f>
        <v>Не соотв.</v>
      </c>
      <c r="AG49" s="15">
        <f>VLOOKUP(Переменные[[#This Row],[DUT id]],ИсходныеДанные,19,FALSE)</f>
        <v>-1</v>
      </c>
      <c r="AH49" s="15" t="str">
        <f>VLOOKUP(Переменные[[#This Row],[DUT id]],ИсходныеДанные,37,FALSE)</f>
        <v>Не соотв.</v>
      </c>
      <c r="AI49" s="15" t="str">
        <f>VLOOKUP(Переменные[[#This Row],[DUT id]],ИсходныеДанные,35,FALSE)</f>
        <v>Загрязнение отсутствует</v>
      </c>
      <c r="AJ49" s="15" t="str">
        <f>VLOOKUP(Переменные[[#This Row],[DUT id]],ИсходныеДанные,36,FALSE)</f>
        <v>Соотв.</v>
      </c>
      <c r="AK49" s="15">
        <f>VLOOKUP(Переменные[[#This Row],[DUT id]],ИсходныеДанные,33,FALSE)</f>
        <v>0</v>
      </c>
      <c r="AL49" s="15" t="str">
        <f>VLOOKUP(Переменные[[#This Row],[DUT id]],ИсходныеДанные,34,FALSE)</f>
        <v>Соотв.</v>
      </c>
      <c r="AM49" s="15">
        <f>VLOOKUP(Переменные[[#This Row],[DUT id]],ИсходныеДанные,24,FALSE)</f>
        <v>1</v>
      </c>
    </row>
    <row r="50" spans="1:39" ht="12" customHeight="1" thickBot="1" x14ac:dyDescent="0.3">
      <c r="A50" s="17" t="str">
        <f>Переменные[[#This Row],[TestReportID]]</f>
        <v>FM_OQ_03_11_2</v>
      </c>
      <c r="B50" s="8" t="str">
        <f t="shared" si="0"/>
        <v>да</v>
      </c>
      <c r="C50" s="8" t="str">
        <f t="shared" si="1"/>
        <v>Val_2 OQ Test Report template</v>
      </c>
      <c r="D50" s="9">
        <f t="shared" ca="1" si="2"/>
        <v>45807</v>
      </c>
      <c r="E50" s="8" t="str">
        <f t="shared" ca="1" si="3"/>
        <v>2025-05-30</v>
      </c>
      <c r="F50" s="8" t="str">
        <f t="shared" si="4"/>
        <v xml:space="preserve"> ☑  ☐  ☒ </v>
      </c>
      <c r="G50" s="18" t="str">
        <f>"FM_OQ_"&amp;Переменные[[#This Row],[DUT id]]</f>
        <v>FM_OQ_03_11_2</v>
      </c>
      <c r="H50" s="15" t="s">
        <v>58</v>
      </c>
      <c r="I50" s="16">
        <v>45803</v>
      </c>
      <c r="J50" s="15">
        <v>22</v>
      </c>
      <c r="K50" s="15">
        <v>65</v>
      </c>
      <c r="L50" s="15" t="str">
        <f>VLOOKUP(Переменные[[#This Row],[DUT id]],ИсходныеДанные,15,FALSE)</f>
        <v>Щипкова Елена</v>
      </c>
      <c r="M50" s="15" t="s">
        <v>325</v>
      </c>
      <c r="N50" s="15" t="s">
        <v>59</v>
      </c>
      <c r="O50" s="15" t="str">
        <f>VLOOKUP(Переменные[[#This Row],[DUT id]],ИсходныеДанные,4,FALSE)</f>
        <v>SN: 00241</v>
      </c>
      <c r="P50" s="15" t="str">
        <f>VLOOKUP(Переменные[[#This Row],[DUT id]],ИсходныеДанные,3,FALSE)</f>
        <v>LZM-100</v>
      </c>
      <c r="Q50" s="19" t="str">
        <f>VLOOKUP(Переменные[[#This Row],[DUT id]],ИсходныеДанные,5,FALSE)</f>
        <v>SP + 290 bit</v>
      </c>
      <c r="R50" s="19" t="str">
        <f>VLOOKUP(Переменные[[#This Row],[DUT id]],ИсходныеДанные,6,FALSE)</f>
        <v>40ms</v>
      </c>
      <c r="S50" s="19" t="str">
        <f>VLOOKUP(Переменные[[#This Row],[DUT id]],ИсходныеДанные,7,FALSE)</f>
        <v>6000ms</v>
      </c>
      <c r="T50" s="19" t="str">
        <f>VLOOKUP(Переменные[[#This Row],[DUT id]],ИсходныеДанные,8,FALSE)</f>
        <v> 0,120 гр/ms</v>
      </c>
      <c r="U50" s="19">
        <f>VLOOKUP(Переменные[[#This Row],[DUT id]],ИсходныеДанные,9,FALSE)</f>
        <v>0</v>
      </c>
      <c r="V50" s="19" t="str">
        <f>VLOOKUP(Переменные[[#This Row],[DUT id]],ИсходныеДанные,10,FALSE)</f>
        <v>LT_F + 2000 ms</v>
      </c>
      <c r="W50" s="15" t="s">
        <v>119</v>
      </c>
      <c r="X50" s="19" t="s">
        <v>164</v>
      </c>
      <c r="Y50" s="18" t="s">
        <v>165</v>
      </c>
      <c r="Z50" s="18" t="str">
        <f>VLOOKUP(Переменные[[#This Row],[DUT id]],ИсходныеДанные,27,FALSE)</f>
        <v>5,75/0/0/0</v>
      </c>
      <c r="AA50" s="15">
        <f>VLOOKUP(Переменные[[#This Row],[DUT id]],ИсходныеДанные,16,FALSE)</f>
        <v>1.37</v>
      </c>
      <c r="AB50" s="15" t="str">
        <f>VLOOKUP(Переменные[[#This Row],[DUT id]],ИсходныеДанные,28,FALSE)</f>
        <v>Соотв.</v>
      </c>
      <c r="AC50" s="15" t="str">
        <f>VLOOKUP(Переменные[[#This Row],[DUT id]],ИсходныеДанные,29,FALSE)</f>
        <v>Симмертично</v>
      </c>
      <c r="AD50" s="15" t="str">
        <f>VLOOKUP(Переменные[[#This Row],[DUT id]],ИсходныеДанные,30,FALSE)</f>
        <v>Соотв.</v>
      </c>
      <c r="AE50" s="15" t="str">
        <f>VLOOKUP(Переменные[[#This Row],[DUT id]],ИсходныеДанные,31,FALSE)</f>
        <v>Заплавлено</v>
      </c>
      <c r="AF50" s="15" t="str">
        <f>VLOOKUP(Переменные[[#This Row],[DUT id]],ИсходныеДанные,32,FALSE)</f>
        <v>Соотв.</v>
      </c>
      <c r="AG50" s="15">
        <f>VLOOKUP(Переменные[[#This Row],[DUT id]],ИсходныеДанные,19,FALSE)</f>
        <v>0.3</v>
      </c>
      <c r="AH50" s="15" t="str">
        <f>VLOOKUP(Переменные[[#This Row],[DUT id]],ИсходныеДанные,37,FALSE)</f>
        <v>Соотв.</v>
      </c>
      <c r="AI50" s="15" t="str">
        <f>VLOOKUP(Переменные[[#This Row],[DUT id]],ИсходныеДанные,35,FALSE)</f>
        <v>Загрязнение отсутствует</v>
      </c>
      <c r="AJ50" s="15" t="str">
        <f>VLOOKUP(Переменные[[#This Row],[DUT id]],ИсходныеДанные,36,FALSE)</f>
        <v>Соотв.</v>
      </c>
      <c r="AK50" s="15">
        <f>VLOOKUP(Переменные[[#This Row],[DUT id]],ИсходныеДанные,33,FALSE)</f>
        <v>0</v>
      </c>
      <c r="AL50" s="15" t="str">
        <f>VLOOKUP(Переменные[[#This Row],[DUT id]],ИсходныеДанные,34,FALSE)</f>
        <v>Соотв.</v>
      </c>
      <c r="AM50" s="15">
        <f>VLOOKUP(Переменные[[#This Row],[DUT id]],ИсходныеДанные,24,FALSE)</f>
        <v>10</v>
      </c>
    </row>
    <row r="51" spans="1:39" ht="12" customHeight="1" thickBot="1" x14ac:dyDescent="0.3">
      <c r="A51" s="17" t="str">
        <f>Переменные[[#This Row],[TestReportID]]</f>
        <v>FM_OQ_03_11_3</v>
      </c>
      <c r="B51" s="8" t="str">
        <f t="shared" si="0"/>
        <v>да</v>
      </c>
      <c r="C51" s="8" t="str">
        <f t="shared" si="1"/>
        <v>Val_2 OQ Test Report template</v>
      </c>
      <c r="D51" s="9">
        <f t="shared" ca="1" si="2"/>
        <v>45807</v>
      </c>
      <c r="E51" s="8" t="str">
        <f t="shared" ca="1" si="3"/>
        <v>2025-05-30</v>
      </c>
      <c r="F51" s="8" t="str">
        <f t="shared" si="4"/>
        <v xml:space="preserve"> ☑  ☐  ☒ </v>
      </c>
      <c r="G51" s="18" t="str">
        <f>"FM_OQ_"&amp;Переменные[[#This Row],[DUT id]]</f>
        <v>FM_OQ_03_11_3</v>
      </c>
      <c r="H51" s="15" t="s">
        <v>58</v>
      </c>
      <c r="I51" s="16">
        <v>45803</v>
      </c>
      <c r="J51" s="15">
        <v>22</v>
      </c>
      <c r="K51" s="15">
        <v>65</v>
      </c>
      <c r="L51" s="15" t="str">
        <f>VLOOKUP(Переменные[[#This Row],[DUT id]],ИсходныеДанные,15,FALSE)</f>
        <v>Щипкова Елена</v>
      </c>
      <c r="M51" s="15" t="s">
        <v>325</v>
      </c>
      <c r="N51" s="15" t="s">
        <v>59</v>
      </c>
      <c r="O51" s="15" t="str">
        <f>VLOOKUP(Переменные[[#This Row],[DUT id]],ИсходныеДанные,4,FALSE)</f>
        <v>SN: 00241</v>
      </c>
      <c r="P51" s="15" t="str">
        <f>VLOOKUP(Переменные[[#This Row],[DUT id]],ИсходныеДанные,3,FALSE)</f>
        <v>LZM-100</v>
      </c>
      <c r="Q51" s="19" t="str">
        <f>VLOOKUP(Переменные[[#This Row],[DUT id]],ИсходныеДанные,5,FALSE)</f>
        <v>SP + 290 bit</v>
      </c>
      <c r="R51" s="19" t="str">
        <f>VLOOKUP(Переменные[[#This Row],[DUT id]],ИсходныеДанные,6,FALSE)</f>
        <v>40ms</v>
      </c>
      <c r="S51" s="19" t="str">
        <f>VLOOKUP(Переменные[[#This Row],[DUT id]],ИсходныеДанные,7,FALSE)</f>
        <v>6000ms</v>
      </c>
      <c r="T51" s="19" t="str">
        <f>VLOOKUP(Переменные[[#This Row],[DUT id]],ИсходныеДанные,8,FALSE)</f>
        <v> 0,120 гр/ms</v>
      </c>
      <c r="U51" s="19">
        <f>VLOOKUP(Переменные[[#This Row],[DUT id]],ИсходныеДанные,9,FALSE)</f>
        <v>0</v>
      </c>
      <c r="V51" s="19" t="str">
        <f>VLOOKUP(Переменные[[#This Row],[DUT id]],ИсходныеДанные,10,FALSE)</f>
        <v>LT_F + 2000 ms</v>
      </c>
      <c r="W51" s="15" t="s">
        <v>119</v>
      </c>
      <c r="X51" s="19" t="s">
        <v>166</v>
      </c>
      <c r="Y51" s="18" t="s">
        <v>167</v>
      </c>
      <c r="Z51" s="18" t="str">
        <f>VLOOKUP(Переменные[[#This Row],[DUT id]],ИсходныеДанные,27,FALSE)</f>
        <v>6,03/0/0/0</v>
      </c>
      <c r="AA51" s="15">
        <f>VLOOKUP(Переменные[[#This Row],[DUT id]],ИсходныеДанные,16,FALSE)</f>
        <v>1.4</v>
      </c>
      <c r="AB51" s="15" t="str">
        <f>VLOOKUP(Переменные[[#This Row],[DUT id]],ИсходныеДанные,28,FALSE)</f>
        <v>Соотв.</v>
      </c>
      <c r="AC51" s="15" t="str">
        <f>VLOOKUP(Переменные[[#This Row],[DUT id]],ИсходныеДанные,29,FALSE)</f>
        <v>Симмертично</v>
      </c>
      <c r="AD51" s="15" t="str">
        <f>VLOOKUP(Переменные[[#This Row],[DUT id]],ИсходныеДанные,30,FALSE)</f>
        <v>Соотв.</v>
      </c>
      <c r="AE51" s="15" t="str">
        <f>VLOOKUP(Переменные[[#This Row],[DUT id]],ИсходныеДанные,31,FALSE)</f>
        <v>Заплавлено</v>
      </c>
      <c r="AF51" s="15" t="str">
        <f>VLOOKUP(Переменные[[#This Row],[DUT id]],ИсходныеДанные,32,FALSE)</f>
        <v>Соотв.</v>
      </c>
      <c r="AG51" s="15">
        <f>VLOOKUP(Переменные[[#This Row],[DUT id]],ИсходныеДанные,19,FALSE)</f>
        <v>0.28000000000000003</v>
      </c>
      <c r="AH51" s="15" t="str">
        <f>VLOOKUP(Переменные[[#This Row],[DUT id]],ИсходныеДанные,37,FALSE)</f>
        <v>Соотв.</v>
      </c>
      <c r="AI51" s="15" t="str">
        <f>VLOOKUP(Переменные[[#This Row],[DUT id]],ИсходныеДанные,35,FALSE)</f>
        <v>Загрязнение отсутствует</v>
      </c>
      <c r="AJ51" s="15" t="str">
        <f>VLOOKUP(Переменные[[#This Row],[DUT id]],ИсходныеДанные,36,FALSE)</f>
        <v>Соотв.</v>
      </c>
      <c r="AK51" s="15">
        <f>VLOOKUP(Переменные[[#This Row],[DUT id]],ИсходныеДанные,33,FALSE)</f>
        <v>0</v>
      </c>
      <c r="AL51" s="15" t="str">
        <f>VLOOKUP(Переменные[[#This Row],[DUT id]],ИсходныеДанные,34,FALSE)</f>
        <v>Соотв.</v>
      </c>
      <c r="AM51" s="15">
        <f>VLOOKUP(Переменные[[#This Row],[DUT id]],ИсходныеДанные,24,FALSE)</f>
        <v>10</v>
      </c>
    </row>
  </sheetData>
  <pageMargins left="0.70078740157480324" right="0.70078740157480324" top="0.75196850393700787" bottom="0.75196850393700787" header="0.3" footer="0.3"/>
  <pageSetup paperSize="9" scale="23" orientation="landscape" useFirstPageNumber="1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Variables_table">
    <tabColor theme="5" tint="-0.249977111117893"/>
  </sheetPr>
  <dimension ref="A1:F6"/>
  <sheetViews>
    <sheetView zoomScale="130" workbookViewId="0">
      <pane ySplit="3" topLeftCell="A4" activePane="bottomLeft" state="frozen"/>
      <selection activeCell="D17" sqref="D17"/>
      <selection pane="bottomLeft"/>
    </sheetView>
  </sheetViews>
  <sheetFormatPr defaultColWidth="18.7109375" defaultRowHeight="15" x14ac:dyDescent="0.25"/>
  <cols>
    <col min="1" max="1" width="7.5703125" style="7" customWidth="1"/>
    <col min="2" max="4" width="37.85546875" style="7" customWidth="1"/>
    <col min="5" max="5" width="37.85546875" customWidth="1"/>
    <col min="6" max="6" width="37.85546875" style="7" customWidth="1"/>
    <col min="7" max="42" width="18.7109375" style="7" customWidth="1"/>
    <col min="43" max="16384" width="18.7109375" style="7"/>
  </cols>
  <sheetData>
    <row r="1" spans="1:6" s="21" customFormat="1" ht="39.950000000000003" customHeight="1" x14ac:dyDescent="0.25">
      <c r="A1" s="22" t="s">
        <v>168</v>
      </c>
      <c r="B1" s="22"/>
      <c r="C1" s="22"/>
      <c r="D1" s="22"/>
    </row>
    <row r="2" spans="1:6" x14ac:dyDescent="0.25">
      <c r="B2" s="8" t="s">
        <v>169</v>
      </c>
      <c r="C2" s="8" t="s">
        <v>170</v>
      </c>
      <c r="D2" s="8" t="s">
        <v>171</v>
      </c>
      <c r="E2" s="23" t="s">
        <v>172</v>
      </c>
      <c r="F2" s="23" t="s">
        <v>173</v>
      </c>
    </row>
    <row r="3" spans="1:6" s="24" customFormat="1" x14ac:dyDescent="0.25">
      <c r="A3" s="24" t="s">
        <v>174</v>
      </c>
      <c r="B3" s="24" t="s">
        <v>175</v>
      </c>
      <c r="C3" s="24" t="s">
        <v>176</v>
      </c>
      <c r="D3" s="24" t="s">
        <v>177</v>
      </c>
      <c r="E3" s="24" t="s">
        <v>178</v>
      </c>
      <c r="F3" s="24" t="s">
        <v>179</v>
      </c>
    </row>
    <row r="4" spans="1:6" x14ac:dyDescent="0.25">
      <c r="A4" s="7">
        <f t="array" ref="A4">ROW()-ROW(Переменные_таблиц[#Headers])</f>
        <v>1</v>
      </c>
      <c r="B4" s="7" t="s">
        <v>180</v>
      </c>
      <c r="C4" s="7" t="s">
        <v>181</v>
      </c>
      <c r="D4" s="7" t="s">
        <v>182</v>
      </c>
      <c r="E4" s="7" t="s">
        <v>183</v>
      </c>
      <c r="F4" s="7" t="s">
        <v>184</v>
      </c>
    </row>
    <row r="5" spans="1:6" x14ac:dyDescent="0.25">
      <c r="A5" s="7">
        <f t="array" ref="A5">ROW()-ROW(Переменные_таблиц[#Headers])</f>
        <v>2</v>
      </c>
      <c r="B5" s="7" t="s">
        <v>185</v>
      </c>
      <c r="C5" s="7" t="s">
        <v>186</v>
      </c>
      <c r="D5" s="7" t="s">
        <v>187</v>
      </c>
      <c r="E5" s="7" t="s">
        <v>184</v>
      </c>
      <c r="F5" s="7" t="s">
        <v>183</v>
      </c>
    </row>
    <row r="6" spans="1:6" x14ac:dyDescent="0.25">
      <c r="A6" s="7">
        <f t="array" ref="A6">ROW()-ROW(Переменные_таблиц[#Headers])</f>
        <v>3</v>
      </c>
      <c r="B6" s="7" t="s">
        <v>188</v>
      </c>
      <c r="C6" s="7" t="s">
        <v>181</v>
      </c>
      <c r="D6" s="7" t="s">
        <v>182</v>
      </c>
      <c r="E6" s="7" t="s">
        <v>183</v>
      </c>
      <c r="F6" s="7" t="s">
        <v>184</v>
      </c>
    </row>
  </sheetData>
  <dataValidations count="1">
    <dataValidation type="list" allowBlank="1" showInputMessage="1" showErrorMessage="1" sqref="E4:F1048576">
      <formula1>"да, нет"</formula1>
    </dataValidation>
  </dataValidations>
  <pageMargins left="0.7" right="0.7" top="0.75" bottom="0.75" header="0.3" footer="0.3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5" tint="0.39997558519241921"/>
  </sheetPr>
  <dimension ref="A1:F50"/>
  <sheetViews>
    <sheetView zoomScale="130" workbookViewId="0">
      <pane ySplit="5" topLeftCell="A6" activePane="bottomLeft" state="frozen"/>
      <selection activeCell="A51" sqref="A51"/>
      <selection pane="bottomLeft"/>
    </sheetView>
  </sheetViews>
  <sheetFormatPr defaultColWidth="18.7109375" defaultRowHeight="15" x14ac:dyDescent="0.25"/>
  <cols>
    <col min="1" max="6" width="16.5703125" style="25" customWidth="1"/>
  </cols>
  <sheetData>
    <row r="1" spans="1:6" s="26" customFormat="1" ht="39.950000000000003" customHeight="1" x14ac:dyDescent="0.25">
      <c r="A1" s="27" t="s">
        <v>189</v>
      </c>
      <c r="B1" s="27"/>
      <c r="C1" s="27"/>
      <c r="D1" s="27"/>
    </row>
    <row r="2" spans="1:6" x14ac:dyDescent="0.25">
      <c r="A2" s="7" t="s">
        <v>190</v>
      </c>
    </row>
    <row r="3" spans="1:6" x14ac:dyDescent="0.25">
      <c r="A3" s="7" t="s">
        <v>191</v>
      </c>
    </row>
    <row r="4" spans="1:6" x14ac:dyDescent="0.25">
      <c r="A4" s="7" t="s">
        <v>192</v>
      </c>
    </row>
    <row r="5" spans="1:6" x14ac:dyDescent="0.25">
      <c r="A5" s="25" t="s">
        <v>193</v>
      </c>
      <c r="B5" s="25" t="s">
        <v>194</v>
      </c>
      <c r="C5" s="25" t="s">
        <v>195</v>
      </c>
      <c r="D5" s="25" t="s">
        <v>196</v>
      </c>
      <c r="E5" s="25" t="s">
        <v>197</v>
      </c>
      <c r="F5" s="25" t="s">
        <v>198</v>
      </c>
    </row>
    <row r="6" spans="1:6" x14ac:dyDescent="0.25">
      <c r="A6" s="25">
        <v>1</v>
      </c>
      <c r="B6" s="25" t="str">
        <f>"П" &amp;Спецификация[[#This Row],[ID]]</f>
        <v>П1</v>
      </c>
      <c r="C6" s="25" t="str">
        <f>"А"&amp;Спецификация[[#This Row],[ID]]</f>
        <v>А1</v>
      </c>
      <c r="D6" s="25" t="str">
        <f>"Н"&amp;Спецификация[[#This Row],[ID]]</f>
        <v>Н1</v>
      </c>
      <c r="E6" s="25" t="str">
        <f>"Е"&amp;Спецификация[[#This Row],[ID]]</f>
        <v>Е1</v>
      </c>
      <c r="F6" s="25" t="str">
        <f>"К"&amp;Спецификация[[#This Row],[ID]]</f>
        <v>К1</v>
      </c>
    </row>
    <row r="7" spans="1:6" x14ac:dyDescent="0.25">
      <c r="A7" s="25">
        <v>1</v>
      </c>
      <c r="B7" s="25" t="str">
        <f>"П"&amp;Спецификация[[#This Row],[ID]]</f>
        <v>П1</v>
      </c>
      <c r="C7" s="25" t="str">
        <f>"А"&amp;Спецификация[[#This Row],[ID]]</f>
        <v>А1</v>
      </c>
      <c r="D7" s="25" t="str">
        <f>"Н"&amp;Спецификация[[#This Row],[ID]]</f>
        <v>Н1</v>
      </c>
      <c r="E7" s="25" t="str">
        <f>"Е"&amp;Спецификация[[#This Row],[ID]]</f>
        <v>Е1</v>
      </c>
      <c r="F7" s="25" t="str">
        <f>"К"&amp;Спецификация[[#This Row],[ID]]</f>
        <v>К1</v>
      </c>
    </row>
    <row r="8" spans="1:6" x14ac:dyDescent="0.25">
      <c r="A8" s="25">
        <v>1</v>
      </c>
      <c r="B8" s="25" t="str">
        <f>"П"&amp;Спецификация[[#This Row],[ID]]</f>
        <v>П1</v>
      </c>
      <c r="C8" s="25" t="str">
        <f>"А"&amp;Спецификация[[#This Row],[ID]]</f>
        <v>А1</v>
      </c>
      <c r="D8" s="25" t="str">
        <f>"Н"&amp;Спецификация[[#This Row],[ID]]</f>
        <v>Н1</v>
      </c>
      <c r="E8" s="25" t="str">
        <f>"Е"&amp;Спецификация[[#This Row],[ID]]</f>
        <v>Е1</v>
      </c>
      <c r="F8" s="25" t="str">
        <f>"К"&amp;Спецификация[[#This Row],[ID]]</f>
        <v>К1</v>
      </c>
    </row>
    <row r="9" spans="1:6" x14ac:dyDescent="0.25">
      <c r="A9" s="25">
        <v>2</v>
      </c>
      <c r="B9" s="25" t="str">
        <f>"П"&amp;Спецификация[[#This Row],[ID]]</f>
        <v>П2</v>
      </c>
      <c r="C9" s="25" t="str">
        <f>"А"&amp;Спецификация[[#This Row],[ID]]</f>
        <v>А2</v>
      </c>
      <c r="D9" s="25" t="str">
        <f>"Н"&amp;Спецификация[[#This Row],[ID]]</f>
        <v>Н2</v>
      </c>
      <c r="E9" s="25" t="str">
        <f>"Е"&amp;Спецификация[[#This Row],[ID]]</f>
        <v>Е2</v>
      </c>
      <c r="F9" s="25" t="str">
        <f>"К"&amp;Спецификация[[#This Row],[ID]]</f>
        <v>К2</v>
      </c>
    </row>
    <row r="10" spans="1:6" x14ac:dyDescent="0.25">
      <c r="A10" s="25">
        <v>2</v>
      </c>
      <c r="B10" s="25" t="str">
        <f>"П"&amp;Спецификация[[#This Row],[ID]]</f>
        <v>П2</v>
      </c>
      <c r="C10" s="25" t="str">
        <f>"А"&amp;Спецификация[[#This Row],[ID]]</f>
        <v>А2</v>
      </c>
      <c r="D10" s="25" t="str">
        <f>"Н"&amp;Спецификация[[#This Row],[ID]]</f>
        <v>Н2</v>
      </c>
      <c r="E10" s="25" t="str">
        <f>"Е"&amp;Спецификация[[#This Row],[ID]]</f>
        <v>Е2</v>
      </c>
      <c r="F10" s="25" t="str">
        <f>"К"&amp;Спецификация[[#This Row],[ID]]</f>
        <v>К2</v>
      </c>
    </row>
    <row r="11" spans="1:6" x14ac:dyDescent="0.25">
      <c r="A11" s="25">
        <v>2</v>
      </c>
      <c r="B11" s="25" t="str">
        <f>"П"&amp;Спецификация[[#This Row],[ID]]</f>
        <v>П2</v>
      </c>
      <c r="C11" s="25" t="str">
        <f>"А"&amp;Спецификация[[#This Row],[ID]]</f>
        <v>А2</v>
      </c>
      <c r="D11" s="25" t="str">
        <f>"Н"&amp;Спецификация[[#This Row],[ID]]</f>
        <v>Н2</v>
      </c>
      <c r="E11" s="25" t="str">
        <f>"Е"&amp;Спецификация[[#This Row],[ID]]</f>
        <v>Е2</v>
      </c>
      <c r="F11" s="25" t="str">
        <f>"К"&amp;Спецификация[[#This Row],[ID]]</f>
        <v>К2</v>
      </c>
    </row>
    <row r="12" spans="1:6" x14ac:dyDescent="0.25">
      <c r="A12" s="25">
        <v>3</v>
      </c>
      <c r="B12" s="25" t="str">
        <f>"П"&amp;Спецификация[[#This Row],[ID]]</f>
        <v>П3</v>
      </c>
      <c r="C12" s="25" t="str">
        <f>"А"&amp;Спецификация[[#This Row],[ID]]</f>
        <v>А3</v>
      </c>
      <c r="D12" s="25" t="str">
        <f>"Н"&amp;Спецификация[[#This Row],[ID]]</f>
        <v>Н3</v>
      </c>
      <c r="E12" s="25" t="str">
        <f>"Е"&amp;Спецификация[[#This Row],[ID]]</f>
        <v>Е3</v>
      </c>
      <c r="F12" s="25" t="str">
        <f>"К"&amp;Спецификация[[#This Row],[ID]]</f>
        <v>К3</v>
      </c>
    </row>
    <row r="13" spans="1:6" x14ac:dyDescent="0.25">
      <c r="A13" s="25">
        <v>3</v>
      </c>
      <c r="B13" s="25" t="str">
        <f>"П"&amp;Спецификация[[#This Row],[ID]]</f>
        <v>П3</v>
      </c>
      <c r="C13" s="25" t="str">
        <f>"А"&amp;Спецификация[[#This Row],[ID]]</f>
        <v>А3</v>
      </c>
      <c r="D13" s="25" t="str">
        <f>"Н"&amp;Спецификация[[#This Row],[ID]]</f>
        <v>Н3</v>
      </c>
      <c r="E13" s="25" t="str">
        <f>"Е"&amp;Спецификация[[#This Row],[ID]]</f>
        <v>Е3</v>
      </c>
      <c r="F13" s="25" t="str">
        <f>"К"&amp;Спецификация[[#This Row],[ID]]</f>
        <v>К3</v>
      </c>
    </row>
    <row r="14" spans="1:6" x14ac:dyDescent="0.25">
      <c r="A14" s="25">
        <v>3</v>
      </c>
      <c r="B14" s="25" t="str">
        <f>"П"&amp;Спецификация[[#This Row],[ID]]</f>
        <v>П3</v>
      </c>
      <c r="C14" s="25" t="str">
        <f>"А"&amp;Спецификация[[#This Row],[ID]]</f>
        <v>А3</v>
      </c>
      <c r="D14" s="25" t="str">
        <f>"Н"&amp;Спецификация[[#This Row],[ID]]</f>
        <v>Н3</v>
      </c>
      <c r="E14" s="25" t="str">
        <f>"Е"&amp;Спецификация[[#This Row],[ID]]</f>
        <v>Е3</v>
      </c>
      <c r="F14" s="25" t="str">
        <f>"К"&amp;Спецификация[[#This Row],[ID]]</f>
        <v>К3</v>
      </c>
    </row>
    <row r="15" spans="1:6" x14ac:dyDescent="0.25">
      <c r="A15" s="25">
        <v>4</v>
      </c>
      <c r="B15" s="25" t="str">
        <f>"П"&amp;Спецификация[[#This Row],[ID]]</f>
        <v>П4</v>
      </c>
      <c r="C15" s="25" t="str">
        <f>"А"&amp;Спецификация[[#This Row],[ID]]</f>
        <v>А4</v>
      </c>
      <c r="D15" s="25" t="str">
        <f>"Н"&amp;Спецификация[[#This Row],[ID]]</f>
        <v>Н4</v>
      </c>
      <c r="E15" s="25" t="str">
        <f>"Е"&amp;Спецификация[[#This Row],[ID]]</f>
        <v>Е4</v>
      </c>
      <c r="F15" s="25" t="str">
        <f>"К"&amp;Спецификация[[#This Row],[ID]]</f>
        <v>К4</v>
      </c>
    </row>
    <row r="16" spans="1:6" x14ac:dyDescent="0.25">
      <c r="A16" s="25">
        <v>4</v>
      </c>
      <c r="B16" s="25" t="str">
        <f>"П"&amp;Спецификация[[#This Row],[ID]]</f>
        <v>П4</v>
      </c>
      <c r="C16" s="25" t="str">
        <f>"А"&amp;Спецификация[[#This Row],[ID]]</f>
        <v>А4</v>
      </c>
      <c r="D16" s="25" t="str">
        <f>"Н"&amp;Спецификация[[#This Row],[ID]]</f>
        <v>Н4</v>
      </c>
      <c r="E16" s="25" t="str">
        <f>"Е"&amp;Спецификация[[#This Row],[ID]]</f>
        <v>Е4</v>
      </c>
      <c r="F16" s="25" t="str">
        <f>"К"&amp;Спецификация[[#This Row],[ID]]</f>
        <v>К4</v>
      </c>
    </row>
    <row r="17" spans="1:6" x14ac:dyDescent="0.25">
      <c r="A17" s="25">
        <v>4</v>
      </c>
      <c r="B17" s="25" t="str">
        <f>"П"&amp;Спецификация[[#This Row],[ID]]</f>
        <v>П4</v>
      </c>
      <c r="C17" s="25" t="str">
        <f>"А"&amp;Спецификация[[#This Row],[ID]]</f>
        <v>А4</v>
      </c>
      <c r="D17" s="25" t="str">
        <f>"Н"&amp;Спецификация[[#This Row],[ID]]</f>
        <v>Н4</v>
      </c>
      <c r="E17" s="25" t="str">
        <f>"Е"&amp;Спецификация[[#This Row],[ID]]</f>
        <v>Е4</v>
      </c>
      <c r="F17" s="25" t="str">
        <f>"К"&amp;Спецификация[[#This Row],[ID]]</f>
        <v>К4</v>
      </c>
    </row>
    <row r="18" spans="1:6" x14ac:dyDescent="0.25">
      <c r="A18" s="25">
        <v>5</v>
      </c>
      <c r="B18" s="25" t="str">
        <f>"П"&amp;Спецификация[[#This Row],[ID]]</f>
        <v>П5</v>
      </c>
      <c r="C18" s="25" t="str">
        <f>"А"&amp;Спецификация[[#This Row],[ID]]</f>
        <v>А5</v>
      </c>
      <c r="D18" s="25" t="str">
        <f>"Н"&amp;Спецификация[[#This Row],[ID]]</f>
        <v>Н5</v>
      </c>
      <c r="E18" s="25" t="str">
        <f>"Е"&amp;Спецификация[[#This Row],[ID]]</f>
        <v>Е5</v>
      </c>
      <c r="F18" s="25" t="str">
        <f>"К"&amp;Спецификация[[#This Row],[ID]]</f>
        <v>К5</v>
      </c>
    </row>
    <row r="19" spans="1:6" x14ac:dyDescent="0.25">
      <c r="A19" s="25">
        <v>5</v>
      </c>
      <c r="B19" s="25" t="str">
        <f>"П"&amp;Спецификация[[#This Row],[ID]]</f>
        <v>П5</v>
      </c>
      <c r="C19" s="25" t="str">
        <f>"А"&amp;Спецификация[[#This Row],[ID]]</f>
        <v>А5</v>
      </c>
      <c r="D19" s="25" t="str">
        <f>"Н"&amp;Спецификация[[#This Row],[ID]]</f>
        <v>Н5</v>
      </c>
      <c r="E19" s="25" t="str">
        <f>"Е"&amp;Спецификация[[#This Row],[ID]]</f>
        <v>Е5</v>
      </c>
      <c r="F19" s="25" t="str">
        <f>"К"&amp;Спецификация[[#This Row],[ID]]</f>
        <v>К5</v>
      </c>
    </row>
    <row r="20" spans="1:6" x14ac:dyDescent="0.25">
      <c r="A20" s="25">
        <v>5</v>
      </c>
      <c r="B20" s="25" t="str">
        <f>"П"&amp;Спецификация[[#This Row],[ID]]</f>
        <v>П5</v>
      </c>
      <c r="C20" s="25" t="str">
        <f>"А"&amp;Спецификация[[#This Row],[ID]]</f>
        <v>А5</v>
      </c>
      <c r="D20" s="25" t="str">
        <f>"Н"&amp;Спецификация[[#This Row],[ID]]</f>
        <v>Н5</v>
      </c>
      <c r="E20" s="25" t="str">
        <f>"Е"&amp;Спецификация[[#This Row],[ID]]</f>
        <v>Е5</v>
      </c>
      <c r="F20" s="25" t="str">
        <f>"К"&amp;Спецификация[[#This Row],[ID]]</f>
        <v>К5</v>
      </c>
    </row>
    <row r="21" spans="1:6" x14ac:dyDescent="0.25">
      <c r="A21" s="25">
        <v>6</v>
      </c>
      <c r="B21" s="25" t="str">
        <f>"П"&amp;Спецификация[[#This Row],[ID]]</f>
        <v>П6</v>
      </c>
      <c r="C21" s="25" t="str">
        <f>"А"&amp;Спецификация[[#This Row],[ID]]</f>
        <v>А6</v>
      </c>
      <c r="D21" s="25" t="str">
        <f>"Н"&amp;Спецификация[[#This Row],[ID]]</f>
        <v>Н6</v>
      </c>
      <c r="E21" s="25" t="str">
        <f>"Е"&amp;Спецификация[[#This Row],[ID]]</f>
        <v>Е6</v>
      </c>
      <c r="F21" s="25" t="str">
        <f>"К"&amp;Спецификация[[#This Row],[ID]]</f>
        <v>К6</v>
      </c>
    </row>
    <row r="22" spans="1:6" x14ac:dyDescent="0.25">
      <c r="A22" s="25">
        <v>6</v>
      </c>
      <c r="B22" s="25" t="str">
        <f>"П"&amp;Спецификация[[#This Row],[ID]]</f>
        <v>П6</v>
      </c>
      <c r="C22" s="25" t="str">
        <f>"А"&amp;Спецификация[[#This Row],[ID]]</f>
        <v>А6</v>
      </c>
      <c r="D22" s="25" t="str">
        <f>"Н"&amp;Спецификация[[#This Row],[ID]]</f>
        <v>Н6</v>
      </c>
      <c r="E22" s="25" t="str">
        <f>"Е"&amp;Спецификация[[#This Row],[ID]]</f>
        <v>Е6</v>
      </c>
      <c r="F22" s="25" t="str">
        <f>"К"&amp;Спецификация[[#This Row],[ID]]</f>
        <v>К6</v>
      </c>
    </row>
    <row r="23" spans="1:6" x14ac:dyDescent="0.25">
      <c r="A23" s="25">
        <v>6</v>
      </c>
      <c r="B23" s="25" t="str">
        <f>"П"&amp;Спецификация[[#This Row],[ID]]</f>
        <v>П6</v>
      </c>
      <c r="C23" s="25" t="str">
        <f>"А"&amp;Спецификация[[#This Row],[ID]]</f>
        <v>А6</v>
      </c>
      <c r="D23" s="25" t="str">
        <f>"Н"&amp;Спецификация[[#This Row],[ID]]</f>
        <v>Н6</v>
      </c>
      <c r="E23" s="25" t="str">
        <f>"Е"&amp;Спецификация[[#This Row],[ID]]</f>
        <v>Е6</v>
      </c>
      <c r="F23" s="25" t="str">
        <f>"К"&amp;Спецификация[[#This Row],[ID]]</f>
        <v>К6</v>
      </c>
    </row>
    <row r="24" spans="1:6" x14ac:dyDescent="0.25">
      <c r="A24" s="25">
        <v>7</v>
      </c>
      <c r="B24" s="25" t="str">
        <f>"П"&amp;Спецификация[[#This Row],[ID]]</f>
        <v>П7</v>
      </c>
      <c r="C24" s="25" t="str">
        <f>"А"&amp;Спецификация[[#This Row],[ID]]</f>
        <v>А7</v>
      </c>
      <c r="D24" s="25" t="str">
        <f>"Н"&amp;Спецификация[[#This Row],[ID]]</f>
        <v>Н7</v>
      </c>
      <c r="E24" s="25" t="str">
        <f>"Е"&amp;Спецификация[[#This Row],[ID]]</f>
        <v>Е7</v>
      </c>
      <c r="F24" s="25" t="str">
        <f>"К"&amp;Спецификация[[#This Row],[ID]]</f>
        <v>К7</v>
      </c>
    </row>
    <row r="25" spans="1:6" x14ac:dyDescent="0.25">
      <c r="A25" s="25">
        <v>7</v>
      </c>
      <c r="B25" s="25" t="str">
        <f>"П"&amp;Спецификация[[#This Row],[ID]]</f>
        <v>П7</v>
      </c>
      <c r="C25" s="25" t="str">
        <f>"А"&amp;Спецификация[[#This Row],[ID]]</f>
        <v>А7</v>
      </c>
      <c r="D25" s="25" t="str">
        <f>"Н"&amp;Спецификация[[#This Row],[ID]]</f>
        <v>Н7</v>
      </c>
      <c r="E25" s="25" t="str">
        <f>"Е"&amp;Спецификация[[#This Row],[ID]]</f>
        <v>Е7</v>
      </c>
      <c r="F25" s="25" t="str">
        <f>"К"&amp;Спецификация[[#This Row],[ID]]</f>
        <v>К7</v>
      </c>
    </row>
    <row r="26" spans="1:6" x14ac:dyDescent="0.25">
      <c r="A26" s="25">
        <v>7</v>
      </c>
      <c r="B26" s="25" t="str">
        <f>"П"&amp;Спецификация[[#This Row],[ID]]</f>
        <v>П7</v>
      </c>
      <c r="C26" s="25" t="str">
        <f>"А"&amp;Спецификация[[#This Row],[ID]]</f>
        <v>А7</v>
      </c>
      <c r="D26" s="25" t="str">
        <f>"Н"&amp;Спецификация[[#This Row],[ID]]</f>
        <v>Н7</v>
      </c>
      <c r="E26" s="25" t="str">
        <f>"Е"&amp;Спецификация[[#This Row],[ID]]</f>
        <v>Е7</v>
      </c>
      <c r="F26" s="25" t="str">
        <f>"К"&amp;Спецификация[[#This Row],[ID]]</f>
        <v>К7</v>
      </c>
    </row>
    <row r="27" spans="1:6" x14ac:dyDescent="0.25">
      <c r="A27" s="25">
        <v>8</v>
      </c>
      <c r="B27" s="25" t="str">
        <f>"П"&amp;Спецификация[[#This Row],[ID]]</f>
        <v>П8</v>
      </c>
      <c r="C27" s="25" t="str">
        <f>"А"&amp;Спецификация[[#This Row],[ID]]</f>
        <v>А8</v>
      </c>
      <c r="D27" s="25" t="str">
        <f>"Н"&amp;Спецификация[[#This Row],[ID]]</f>
        <v>Н8</v>
      </c>
      <c r="E27" s="25" t="str">
        <f>"Е"&amp;Спецификация[[#This Row],[ID]]</f>
        <v>Е8</v>
      </c>
      <c r="F27" s="25" t="str">
        <f>"К"&amp;Спецификация[[#This Row],[ID]]</f>
        <v>К8</v>
      </c>
    </row>
    <row r="28" spans="1:6" x14ac:dyDescent="0.25">
      <c r="A28" s="25">
        <v>8</v>
      </c>
      <c r="B28" s="25" t="str">
        <f>"П"&amp;Спецификация[[#This Row],[ID]]</f>
        <v>П8</v>
      </c>
      <c r="C28" s="25" t="str">
        <f>"А"&amp;Спецификация[[#This Row],[ID]]</f>
        <v>А8</v>
      </c>
      <c r="D28" s="25" t="str">
        <f>"Н"&amp;Спецификация[[#This Row],[ID]]</f>
        <v>Н8</v>
      </c>
      <c r="E28" s="25" t="str">
        <f>"Е"&amp;Спецификация[[#This Row],[ID]]</f>
        <v>Е8</v>
      </c>
      <c r="F28" s="25" t="str">
        <f>"К"&amp;Спецификация[[#This Row],[ID]]</f>
        <v>К8</v>
      </c>
    </row>
    <row r="29" spans="1:6" x14ac:dyDescent="0.25">
      <c r="A29" s="25">
        <v>8</v>
      </c>
      <c r="B29" s="25" t="str">
        <f>"П"&amp;Спецификация[[#This Row],[ID]]</f>
        <v>П8</v>
      </c>
      <c r="C29" s="25" t="str">
        <f>"А"&amp;Спецификация[[#This Row],[ID]]</f>
        <v>А8</v>
      </c>
      <c r="D29" s="25" t="str">
        <f>"Н"&amp;Спецификация[[#This Row],[ID]]</f>
        <v>Н8</v>
      </c>
      <c r="E29" s="25" t="str">
        <f>"Е"&amp;Спецификация[[#This Row],[ID]]</f>
        <v>Е8</v>
      </c>
      <c r="F29" s="25" t="str">
        <f>"К"&amp;Спецификация[[#This Row],[ID]]</f>
        <v>К8</v>
      </c>
    </row>
    <row r="30" spans="1:6" x14ac:dyDescent="0.25">
      <c r="A30" s="25">
        <v>9</v>
      </c>
      <c r="B30" s="25" t="str">
        <f>"П"&amp;Спецификация[[#This Row],[ID]]</f>
        <v>П9</v>
      </c>
      <c r="C30" s="25" t="str">
        <f>"А"&amp;Спецификация[[#This Row],[ID]]</f>
        <v>А9</v>
      </c>
      <c r="D30" s="25" t="str">
        <f>"Н"&amp;Спецификация[[#This Row],[ID]]</f>
        <v>Н9</v>
      </c>
      <c r="E30" s="25" t="str">
        <f>"Е"&amp;Спецификация[[#This Row],[ID]]</f>
        <v>Е9</v>
      </c>
      <c r="F30" s="25" t="str">
        <f>"К"&amp;Спецификация[[#This Row],[ID]]</f>
        <v>К9</v>
      </c>
    </row>
    <row r="31" spans="1:6" x14ac:dyDescent="0.25">
      <c r="A31" s="25">
        <v>9</v>
      </c>
      <c r="B31" s="25" t="str">
        <f>"П"&amp;Спецификация[[#This Row],[ID]]</f>
        <v>П9</v>
      </c>
      <c r="C31" s="25" t="str">
        <f>"А"&amp;Спецификация[[#This Row],[ID]]</f>
        <v>А9</v>
      </c>
      <c r="D31" s="25" t="str">
        <f>"Н"&amp;Спецификация[[#This Row],[ID]]</f>
        <v>Н9</v>
      </c>
      <c r="E31" s="25" t="str">
        <f>"Е"&amp;Спецификация[[#This Row],[ID]]</f>
        <v>Е9</v>
      </c>
      <c r="F31" s="25" t="str">
        <f>"К"&amp;Спецификация[[#This Row],[ID]]</f>
        <v>К9</v>
      </c>
    </row>
    <row r="32" spans="1:6" x14ac:dyDescent="0.25">
      <c r="A32" s="25">
        <v>9</v>
      </c>
      <c r="B32" s="25" t="str">
        <f>"П"&amp;Спецификация[[#This Row],[ID]]</f>
        <v>П9</v>
      </c>
      <c r="C32" s="25" t="str">
        <f>"А"&amp;Спецификация[[#This Row],[ID]]</f>
        <v>А9</v>
      </c>
      <c r="D32" s="25" t="str">
        <f>"Н"&amp;Спецификация[[#This Row],[ID]]</f>
        <v>Н9</v>
      </c>
      <c r="E32" s="25" t="str">
        <f>"Е"&amp;Спецификация[[#This Row],[ID]]</f>
        <v>Е9</v>
      </c>
      <c r="F32" s="25" t="str">
        <f>"К"&amp;Спецификация[[#This Row],[ID]]</f>
        <v>К9</v>
      </c>
    </row>
    <row r="33" spans="1:6" x14ac:dyDescent="0.25">
      <c r="A33" s="25">
        <v>10</v>
      </c>
      <c r="B33" s="25" t="str">
        <f>"П"&amp;Спецификация[[#This Row],[ID]]</f>
        <v>П10</v>
      </c>
      <c r="C33" s="25" t="str">
        <f>"А"&amp;Спецификация[[#This Row],[ID]]</f>
        <v>А10</v>
      </c>
      <c r="D33" s="25" t="str">
        <f>"Н"&amp;Спецификация[[#This Row],[ID]]</f>
        <v>Н10</v>
      </c>
      <c r="E33" s="25" t="str">
        <f>"Е"&amp;Спецификация[[#This Row],[ID]]</f>
        <v>Е10</v>
      </c>
      <c r="F33" s="25" t="str">
        <f>"К"&amp;Спецификация[[#This Row],[ID]]</f>
        <v>К10</v>
      </c>
    </row>
    <row r="34" spans="1:6" x14ac:dyDescent="0.25">
      <c r="A34" s="25">
        <v>10</v>
      </c>
      <c r="B34" s="25" t="str">
        <f>"П"&amp;Спецификация[[#This Row],[ID]]</f>
        <v>П10</v>
      </c>
      <c r="C34" s="25" t="str">
        <f>"А"&amp;Спецификация[[#This Row],[ID]]</f>
        <v>А10</v>
      </c>
      <c r="D34" s="25" t="str">
        <f>"Н"&amp;Спецификация[[#This Row],[ID]]</f>
        <v>Н10</v>
      </c>
      <c r="E34" s="25" t="str">
        <f>"Е"&amp;Спецификация[[#This Row],[ID]]</f>
        <v>Е10</v>
      </c>
      <c r="F34" s="25" t="str">
        <f>"К"&amp;Спецификация[[#This Row],[ID]]</f>
        <v>К10</v>
      </c>
    </row>
    <row r="35" spans="1:6" x14ac:dyDescent="0.25">
      <c r="A35" s="25">
        <v>10</v>
      </c>
      <c r="B35" s="25" t="str">
        <f>"П"&amp;Спецификация[[#This Row],[ID]]</f>
        <v>П10</v>
      </c>
      <c r="C35" s="25" t="str">
        <f>"А"&amp;Спецификация[[#This Row],[ID]]</f>
        <v>А10</v>
      </c>
      <c r="D35" s="25" t="str">
        <f>"Н"&amp;Спецификация[[#This Row],[ID]]</f>
        <v>Н10</v>
      </c>
      <c r="E35" s="25" t="str">
        <f>"Е"&amp;Спецификация[[#This Row],[ID]]</f>
        <v>Е10</v>
      </c>
      <c r="F35" s="25" t="str">
        <f>"К"&amp;Спецификация[[#This Row],[ID]]</f>
        <v>К10</v>
      </c>
    </row>
    <row r="36" spans="1:6" x14ac:dyDescent="0.25">
      <c r="A36" s="25">
        <v>11</v>
      </c>
      <c r="B36" s="25" t="str">
        <f>"П"&amp;Спецификация[[#This Row],[ID]]</f>
        <v>П11</v>
      </c>
      <c r="C36" s="25" t="str">
        <f>"А"&amp;Спецификация[[#This Row],[ID]]</f>
        <v>А11</v>
      </c>
      <c r="D36" s="25" t="str">
        <f>"Н"&amp;Спецификация[[#This Row],[ID]]</f>
        <v>Н11</v>
      </c>
      <c r="E36" s="25" t="str">
        <f>"Е"&amp;Спецификация[[#This Row],[ID]]</f>
        <v>Е11</v>
      </c>
      <c r="F36" s="25" t="str">
        <f>"К"&amp;Спецификация[[#This Row],[ID]]</f>
        <v>К11</v>
      </c>
    </row>
    <row r="37" spans="1:6" x14ac:dyDescent="0.25">
      <c r="A37" s="25">
        <v>11</v>
      </c>
      <c r="B37" s="25" t="str">
        <f>"П"&amp;Спецификация[[#This Row],[ID]]</f>
        <v>П11</v>
      </c>
      <c r="C37" s="25" t="str">
        <f>"А"&amp;Спецификация[[#This Row],[ID]]</f>
        <v>А11</v>
      </c>
      <c r="D37" s="25" t="str">
        <f>"Н"&amp;Спецификация[[#This Row],[ID]]</f>
        <v>Н11</v>
      </c>
      <c r="E37" s="25" t="str">
        <f>"Е"&amp;Спецификация[[#This Row],[ID]]</f>
        <v>Е11</v>
      </c>
      <c r="F37" s="25" t="str">
        <f>"К"&amp;Спецификация[[#This Row],[ID]]</f>
        <v>К11</v>
      </c>
    </row>
    <row r="38" spans="1:6" x14ac:dyDescent="0.25">
      <c r="A38" s="25">
        <v>11</v>
      </c>
      <c r="B38" s="25" t="str">
        <f>"П"&amp;Спецификация[[#This Row],[ID]]</f>
        <v>П11</v>
      </c>
      <c r="C38" s="25" t="str">
        <f>"А"&amp;Спецификация[[#This Row],[ID]]</f>
        <v>А11</v>
      </c>
      <c r="D38" s="25" t="str">
        <f>"Н"&amp;Спецификация[[#This Row],[ID]]</f>
        <v>Н11</v>
      </c>
      <c r="E38" s="25" t="str">
        <f>"Е"&amp;Спецификация[[#This Row],[ID]]</f>
        <v>Е11</v>
      </c>
      <c r="F38" s="25" t="str">
        <f>"К"&amp;Спецификация[[#This Row],[ID]]</f>
        <v>К11</v>
      </c>
    </row>
    <row r="39" spans="1:6" x14ac:dyDescent="0.25">
      <c r="A39" s="25">
        <v>12</v>
      </c>
      <c r="B39" s="25" t="str">
        <f>"П"&amp;Спецификация[[#This Row],[ID]]</f>
        <v>П12</v>
      </c>
      <c r="C39" s="25" t="str">
        <f>"А"&amp;Спецификация[[#This Row],[ID]]</f>
        <v>А12</v>
      </c>
      <c r="D39" s="25" t="str">
        <f>"Н"&amp;Спецификация[[#This Row],[ID]]</f>
        <v>Н12</v>
      </c>
      <c r="E39" s="25" t="str">
        <f>"Е"&amp;Спецификация[[#This Row],[ID]]</f>
        <v>Е12</v>
      </c>
      <c r="F39" s="25" t="str">
        <f>"К"&amp;Спецификация[[#This Row],[ID]]</f>
        <v>К12</v>
      </c>
    </row>
    <row r="40" spans="1:6" x14ac:dyDescent="0.25">
      <c r="A40" s="25">
        <v>12</v>
      </c>
      <c r="B40" s="25" t="str">
        <f>"П"&amp;Спецификация[[#This Row],[ID]]</f>
        <v>П12</v>
      </c>
      <c r="C40" s="25" t="str">
        <f>"А"&amp;Спецификация[[#This Row],[ID]]</f>
        <v>А12</v>
      </c>
      <c r="D40" s="25" t="str">
        <f>"Н"&amp;Спецификация[[#This Row],[ID]]</f>
        <v>Н12</v>
      </c>
      <c r="E40" s="25" t="str">
        <f>"Е"&amp;Спецификация[[#This Row],[ID]]</f>
        <v>Е12</v>
      </c>
      <c r="F40" s="25" t="str">
        <f>"К"&amp;Спецификация[[#This Row],[ID]]</f>
        <v>К12</v>
      </c>
    </row>
    <row r="41" spans="1:6" x14ac:dyDescent="0.25">
      <c r="A41" s="25">
        <v>12</v>
      </c>
      <c r="B41" s="25" t="str">
        <f>"П"&amp;Спецификация[[#This Row],[ID]]</f>
        <v>П12</v>
      </c>
      <c r="C41" s="25" t="str">
        <f>"А"&amp;Спецификация[[#This Row],[ID]]</f>
        <v>А12</v>
      </c>
      <c r="D41" s="25" t="str">
        <f>"Н"&amp;Спецификация[[#This Row],[ID]]</f>
        <v>Н12</v>
      </c>
      <c r="E41" s="25" t="str">
        <f>"Е"&amp;Спецификация[[#This Row],[ID]]</f>
        <v>Е12</v>
      </c>
      <c r="F41" s="25" t="str">
        <f>"К"&amp;Спецификация[[#This Row],[ID]]</f>
        <v>К12</v>
      </c>
    </row>
    <row r="42" spans="1:6" x14ac:dyDescent="0.25">
      <c r="A42" s="25">
        <v>13</v>
      </c>
      <c r="B42" s="25" t="str">
        <f>"П"&amp;Спецификация[[#This Row],[ID]]</f>
        <v>П13</v>
      </c>
      <c r="C42" s="25" t="str">
        <f>"А"&amp;Спецификация[[#This Row],[ID]]</f>
        <v>А13</v>
      </c>
      <c r="D42" s="25" t="str">
        <f>"Н"&amp;Спецификация[[#This Row],[ID]]</f>
        <v>Н13</v>
      </c>
      <c r="E42" s="25" t="str">
        <f>"Е"&amp;Спецификация[[#This Row],[ID]]</f>
        <v>Е13</v>
      </c>
      <c r="F42" s="25" t="str">
        <f>"К"&amp;Спецификация[[#This Row],[ID]]</f>
        <v>К13</v>
      </c>
    </row>
    <row r="43" spans="1:6" x14ac:dyDescent="0.25">
      <c r="A43" s="25">
        <v>13</v>
      </c>
      <c r="B43" s="25" t="str">
        <f>"П"&amp;Спецификация[[#This Row],[ID]]</f>
        <v>П13</v>
      </c>
      <c r="C43" s="25" t="str">
        <f>"А"&amp;Спецификация[[#This Row],[ID]]</f>
        <v>А13</v>
      </c>
      <c r="D43" s="25" t="str">
        <f>"Н"&amp;Спецификация[[#This Row],[ID]]</f>
        <v>Н13</v>
      </c>
      <c r="E43" s="25" t="str">
        <f>"Е"&amp;Спецификация[[#This Row],[ID]]</f>
        <v>Е13</v>
      </c>
      <c r="F43" s="25" t="str">
        <f>"К"&amp;Спецификация[[#This Row],[ID]]</f>
        <v>К13</v>
      </c>
    </row>
    <row r="44" spans="1:6" x14ac:dyDescent="0.25">
      <c r="A44" s="25">
        <v>13</v>
      </c>
      <c r="B44" s="25" t="str">
        <f>"П"&amp;Спецификация[[#This Row],[ID]]</f>
        <v>П13</v>
      </c>
      <c r="C44" s="25" t="str">
        <f>"А"&amp;Спецификация[[#This Row],[ID]]</f>
        <v>А13</v>
      </c>
      <c r="D44" s="25" t="str">
        <f>"Н"&amp;Спецификация[[#This Row],[ID]]</f>
        <v>Н13</v>
      </c>
      <c r="E44" s="25" t="str">
        <f>"Е"&amp;Спецификация[[#This Row],[ID]]</f>
        <v>Е13</v>
      </c>
      <c r="F44" s="25" t="str">
        <f>"К"&amp;Спецификация[[#This Row],[ID]]</f>
        <v>К13</v>
      </c>
    </row>
    <row r="45" spans="1:6" x14ac:dyDescent="0.25">
      <c r="A45" s="25">
        <v>14</v>
      </c>
      <c r="B45" s="25" t="str">
        <f>"П"&amp;Спецификация[[#This Row],[ID]]</f>
        <v>П14</v>
      </c>
      <c r="C45" s="25" t="str">
        <f>"А"&amp;Спецификация[[#This Row],[ID]]</f>
        <v>А14</v>
      </c>
      <c r="D45" s="25" t="str">
        <f>"Н"&amp;Спецификация[[#This Row],[ID]]</f>
        <v>Н14</v>
      </c>
      <c r="E45" s="25" t="str">
        <f>"Е"&amp;Спецификация[[#This Row],[ID]]</f>
        <v>Е14</v>
      </c>
      <c r="F45" s="25" t="str">
        <f>"К"&amp;Спецификация[[#This Row],[ID]]</f>
        <v>К14</v>
      </c>
    </row>
    <row r="46" spans="1:6" x14ac:dyDescent="0.25">
      <c r="A46" s="25">
        <v>14</v>
      </c>
      <c r="B46" s="25" t="str">
        <f>"П"&amp;Спецификация[[#This Row],[ID]]</f>
        <v>П14</v>
      </c>
      <c r="C46" s="25" t="str">
        <f>"А"&amp;Спецификация[[#This Row],[ID]]</f>
        <v>А14</v>
      </c>
      <c r="D46" s="25" t="str">
        <f>"Н"&amp;Спецификация[[#This Row],[ID]]</f>
        <v>Н14</v>
      </c>
      <c r="E46" s="25" t="str">
        <f>"Е"&amp;Спецификация[[#This Row],[ID]]</f>
        <v>Е14</v>
      </c>
      <c r="F46" s="25" t="str">
        <f>"К"&amp;Спецификация[[#This Row],[ID]]</f>
        <v>К14</v>
      </c>
    </row>
    <row r="47" spans="1:6" x14ac:dyDescent="0.25">
      <c r="A47" s="25">
        <v>14</v>
      </c>
      <c r="B47" s="25" t="str">
        <f>"П"&amp;Спецификация[[#This Row],[ID]]</f>
        <v>П14</v>
      </c>
      <c r="C47" s="25" t="str">
        <f>"А"&amp;Спецификация[[#This Row],[ID]]</f>
        <v>А14</v>
      </c>
      <c r="D47" s="25" t="str">
        <f>"Н"&amp;Спецификация[[#This Row],[ID]]</f>
        <v>Н14</v>
      </c>
      <c r="E47" s="25" t="str">
        <f>"Е"&amp;Спецификация[[#This Row],[ID]]</f>
        <v>Е14</v>
      </c>
      <c r="F47" s="25" t="str">
        <f>"К"&amp;Спецификация[[#This Row],[ID]]</f>
        <v>К14</v>
      </c>
    </row>
    <row r="48" spans="1:6" x14ac:dyDescent="0.25">
      <c r="A48" s="25">
        <v>15</v>
      </c>
      <c r="B48" s="25" t="str">
        <f>"П"&amp;Спецификация[[#This Row],[ID]]</f>
        <v>П15</v>
      </c>
      <c r="C48" s="25" t="str">
        <f>"А"&amp;Спецификация[[#This Row],[ID]]</f>
        <v>А15</v>
      </c>
      <c r="D48" s="25" t="str">
        <f>"Н"&amp;Спецификация[[#This Row],[ID]]</f>
        <v>Н15</v>
      </c>
      <c r="E48" s="25" t="str">
        <f>"Е"&amp;Спецификация[[#This Row],[ID]]</f>
        <v>Е15</v>
      </c>
      <c r="F48" s="25" t="str">
        <f>"К"&amp;Спецификация[[#This Row],[ID]]</f>
        <v>К15</v>
      </c>
    </row>
    <row r="49" spans="1:6" x14ac:dyDescent="0.25">
      <c r="A49" s="25">
        <v>15</v>
      </c>
      <c r="B49" s="25" t="str">
        <f>"П"&amp;Спецификация[[#This Row],[ID]]</f>
        <v>П15</v>
      </c>
      <c r="C49" s="25" t="str">
        <f>"А"&amp;Спецификация[[#This Row],[ID]]</f>
        <v>А15</v>
      </c>
      <c r="D49" s="25" t="str">
        <f>"Н"&amp;Спецификация[[#This Row],[ID]]</f>
        <v>Н15</v>
      </c>
      <c r="E49" s="25" t="str">
        <f>"Е"&amp;Спецификация[[#This Row],[ID]]</f>
        <v>Е15</v>
      </c>
      <c r="F49" s="25" t="str">
        <f>"К"&amp;Спецификация[[#This Row],[ID]]</f>
        <v>К15</v>
      </c>
    </row>
    <row r="50" spans="1:6" x14ac:dyDescent="0.25">
      <c r="A50" s="25">
        <v>15</v>
      </c>
      <c r="B50" s="25" t="str">
        <f>"П"&amp;Спецификация[[#This Row],[ID]]</f>
        <v>П15</v>
      </c>
      <c r="C50" s="25" t="str">
        <f>"А"&amp;Спецификация[[#This Row],[ID]]</f>
        <v>А15</v>
      </c>
      <c r="D50" s="25" t="str">
        <f>"Н"&amp;Спецификация[[#This Row],[ID]]</f>
        <v>Н15</v>
      </c>
      <c r="E50" s="25" t="str">
        <f>"Е"&amp;Спецификация[[#This Row],[ID]]</f>
        <v>Е15</v>
      </c>
      <c r="F50" s="25" t="str">
        <f>"К"&amp;Спецификация[[#This Row],[ID]]</f>
        <v>К15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5" tint="0.39997558519241921"/>
  </sheetPr>
  <dimension ref="A1:F35"/>
  <sheetViews>
    <sheetView zoomScale="130" workbookViewId="0">
      <pane ySplit="5" topLeftCell="A6" activePane="bottomLeft" state="frozen"/>
      <selection activeCell="C13" sqref="C13"/>
      <selection pane="bottomLeft"/>
    </sheetView>
  </sheetViews>
  <sheetFormatPr defaultColWidth="18.7109375" defaultRowHeight="15" x14ac:dyDescent="0.25"/>
  <cols>
    <col min="1" max="3" width="18.7109375" style="25"/>
  </cols>
  <sheetData>
    <row r="1" spans="1:6" s="26" customFormat="1" ht="39.950000000000003" customHeight="1" x14ac:dyDescent="0.25">
      <c r="A1" s="27" t="s">
        <v>189</v>
      </c>
      <c r="B1" s="28"/>
      <c r="C1" s="28"/>
    </row>
    <row r="2" spans="1:6" x14ac:dyDescent="0.25">
      <c r="A2" s="7" t="s">
        <v>190</v>
      </c>
      <c r="D2" s="25"/>
      <c r="E2" s="25"/>
      <c r="F2" s="25"/>
    </row>
    <row r="3" spans="1:6" x14ac:dyDescent="0.25">
      <c r="A3" s="7" t="s">
        <v>192</v>
      </c>
      <c r="D3" s="25"/>
      <c r="E3" s="25"/>
      <c r="F3" s="25"/>
    </row>
    <row r="4" spans="1:6" x14ac:dyDescent="0.25">
      <c r="A4" s="7" t="s">
        <v>191</v>
      </c>
      <c r="D4" s="25"/>
      <c r="E4" s="25"/>
      <c r="F4" s="25"/>
    </row>
    <row r="5" spans="1:6" x14ac:dyDescent="0.25">
      <c r="A5" s="25" t="s">
        <v>193</v>
      </c>
      <c r="B5" s="25" t="s">
        <v>199</v>
      </c>
      <c r="C5" s="25" t="s">
        <v>200</v>
      </c>
    </row>
    <row r="6" spans="1:6" x14ac:dyDescent="0.25">
      <c r="A6" s="25">
        <v>1</v>
      </c>
      <c r="B6" s="25" t="s">
        <v>201</v>
      </c>
      <c r="C6" s="25" t="s">
        <v>202</v>
      </c>
    </row>
    <row r="7" spans="1:6" x14ac:dyDescent="0.25">
      <c r="A7" s="25">
        <v>1</v>
      </c>
      <c r="B7" s="25" t="s">
        <v>203</v>
      </c>
      <c r="C7" s="25" t="s">
        <v>204</v>
      </c>
    </row>
    <row r="8" spans="1:6" x14ac:dyDescent="0.25">
      <c r="A8" s="25">
        <v>2</v>
      </c>
      <c r="B8" s="25" t="s">
        <v>205</v>
      </c>
      <c r="C8" s="25" t="s">
        <v>206</v>
      </c>
    </row>
    <row r="9" spans="1:6" x14ac:dyDescent="0.25">
      <c r="A9" s="25">
        <v>2</v>
      </c>
      <c r="B9" s="25" t="s">
        <v>207</v>
      </c>
      <c r="C9" s="25" t="s">
        <v>208</v>
      </c>
    </row>
    <row r="10" spans="1:6" x14ac:dyDescent="0.25">
      <c r="A10" s="25">
        <v>3</v>
      </c>
      <c r="B10" s="25" t="s">
        <v>209</v>
      </c>
      <c r="C10" s="25" t="s">
        <v>210</v>
      </c>
    </row>
    <row r="11" spans="1:6" x14ac:dyDescent="0.25">
      <c r="A11" s="25">
        <v>3</v>
      </c>
      <c r="B11" s="25" t="s">
        <v>211</v>
      </c>
      <c r="C11" s="25" t="s">
        <v>212</v>
      </c>
    </row>
    <row r="12" spans="1:6" x14ac:dyDescent="0.25">
      <c r="A12" s="25">
        <v>4</v>
      </c>
      <c r="B12" s="25" t="s">
        <v>213</v>
      </c>
      <c r="C12" s="25" t="s">
        <v>214</v>
      </c>
    </row>
    <row r="13" spans="1:6" x14ac:dyDescent="0.25">
      <c r="A13" s="25">
        <v>4</v>
      </c>
      <c r="B13" s="25" t="s">
        <v>215</v>
      </c>
      <c r="C13" s="25" t="s">
        <v>216</v>
      </c>
    </row>
    <row r="14" spans="1:6" x14ac:dyDescent="0.25">
      <c r="A14" s="25">
        <v>5</v>
      </c>
      <c r="B14" s="25" t="s">
        <v>217</v>
      </c>
      <c r="C14" s="25" t="s">
        <v>218</v>
      </c>
    </row>
    <row r="15" spans="1:6" x14ac:dyDescent="0.25">
      <c r="A15" s="25">
        <v>5</v>
      </c>
      <c r="B15" s="25" t="s">
        <v>219</v>
      </c>
      <c r="C15" s="25" t="s">
        <v>220</v>
      </c>
    </row>
    <row r="16" spans="1:6" x14ac:dyDescent="0.25">
      <c r="A16" s="25">
        <v>6</v>
      </c>
      <c r="B16" s="25" t="s">
        <v>221</v>
      </c>
      <c r="C16" s="25" t="s">
        <v>222</v>
      </c>
    </row>
    <row r="17" spans="1:3" x14ac:dyDescent="0.25">
      <c r="A17" s="25">
        <v>6</v>
      </c>
      <c r="B17" s="25" t="s">
        <v>223</v>
      </c>
      <c r="C17" s="25" t="s">
        <v>224</v>
      </c>
    </row>
    <row r="18" spans="1:3" x14ac:dyDescent="0.25">
      <c r="A18" s="25">
        <v>7</v>
      </c>
      <c r="B18" s="25" t="s">
        <v>225</v>
      </c>
      <c r="C18" s="25" t="s">
        <v>226</v>
      </c>
    </row>
    <row r="19" spans="1:3" x14ac:dyDescent="0.25">
      <c r="A19" s="25">
        <v>7</v>
      </c>
      <c r="B19" s="25" t="s">
        <v>227</v>
      </c>
      <c r="C19" s="25" t="s">
        <v>228</v>
      </c>
    </row>
    <row r="20" spans="1:3" x14ac:dyDescent="0.25">
      <c r="A20" s="25">
        <v>8</v>
      </c>
      <c r="B20" s="25" t="s">
        <v>229</v>
      </c>
      <c r="C20" s="25" t="s">
        <v>230</v>
      </c>
    </row>
    <row r="21" spans="1:3" x14ac:dyDescent="0.25">
      <c r="A21" s="25">
        <v>8</v>
      </c>
      <c r="B21" s="25" t="s">
        <v>231</v>
      </c>
      <c r="C21" s="25" t="s">
        <v>232</v>
      </c>
    </row>
    <row r="22" spans="1:3" x14ac:dyDescent="0.25">
      <c r="A22" s="25">
        <v>9</v>
      </c>
      <c r="B22" s="25" t="s">
        <v>233</v>
      </c>
      <c r="C22" s="25" t="s">
        <v>234</v>
      </c>
    </row>
    <row r="23" spans="1:3" x14ac:dyDescent="0.25">
      <c r="A23" s="25">
        <v>9</v>
      </c>
      <c r="B23" s="25" t="s">
        <v>235</v>
      </c>
      <c r="C23" s="25" t="s">
        <v>236</v>
      </c>
    </row>
    <row r="24" spans="1:3" x14ac:dyDescent="0.25">
      <c r="A24" s="25">
        <v>10</v>
      </c>
      <c r="B24" s="25" t="s">
        <v>237</v>
      </c>
      <c r="C24" s="25" t="s">
        <v>238</v>
      </c>
    </row>
    <row r="25" spans="1:3" x14ac:dyDescent="0.25">
      <c r="A25" s="25">
        <v>10</v>
      </c>
      <c r="B25" s="25" t="s">
        <v>239</v>
      </c>
      <c r="C25" s="25" t="s">
        <v>240</v>
      </c>
    </row>
    <row r="26" spans="1:3" x14ac:dyDescent="0.25">
      <c r="A26" s="25">
        <v>11</v>
      </c>
      <c r="B26" s="25" t="s">
        <v>241</v>
      </c>
      <c r="C26" s="25" t="s">
        <v>242</v>
      </c>
    </row>
    <row r="27" spans="1:3" x14ac:dyDescent="0.25">
      <c r="A27" s="25">
        <v>11</v>
      </c>
      <c r="B27" s="25" t="s">
        <v>243</v>
      </c>
      <c r="C27" s="25" t="s">
        <v>244</v>
      </c>
    </row>
    <row r="28" spans="1:3" x14ac:dyDescent="0.25">
      <c r="A28" s="25">
        <v>12</v>
      </c>
      <c r="B28" s="25" t="s">
        <v>245</v>
      </c>
      <c r="C28" s="25" t="s">
        <v>246</v>
      </c>
    </row>
    <row r="29" spans="1:3" x14ac:dyDescent="0.25">
      <c r="A29" s="25">
        <v>12</v>
      </c>
      <c r="B29" s="25" t="s">
        <v>247</v>
      </c>
      <c r="C29" s="25" t="s">
        <v>248</v>
      </c>
    </row>
    <row r="30" spans="1:3" x14ac:dyDescent="0.25">
      <c r="A30" s="25">
        <v>13</v>
      </c>
      <c r="B30" s="25" t="s">
        <v>249</v>
      </c>
      <c r="C30" s="25" t="s">
        <v>250</v>
      </c>
    </row>
    <row r="31" spans="1:3" x14ac:dyDescent="0.25">
      <c r="A31" s="25">
        <v>13</v>
      </c>
      <c r="B31" s="25" t="s">
        <v>251</v>
      </c>
      <c r="C31" s="25" t="s">
        <v>252</v>
      </c>
    </row>
    <row r="32" spans="1:3" x14ac:dyDescent="0.25">
      <c r="A32" s="25">
        <v>14</v>
      </c>
      <c r="B32" s="25" t="s">
        <v>253</v>
      </c>
      <c r="C32" s="25" t="s">
        <v>254</v>
      </c>
    </row>
    <row r="33" spans="1:3" x14ac:dyDescent="0.25">
      <c r="A33" s="25">
        <v>14</v>
      </c>
      <c r="B33" s="25" t="s">
        <v>255</v>
      </c>
      <c r="C33" s="25" t="s">
        <v>256</v>
      </c>
    </row>
    <row r="34" spans="1:3" x14ac:dyDescent="0.25">
      <c r="A34" s="25">
        <v>15</v>
      </c>
      <c r="B34" s="25" t="s">
        <v>257</v>
      </c>
      <c r="C34" s="25" t="s">
        <v>258</v>
      </c>
    </row>
    <row r="35" spans="1:3" x14ac:dyDescent="0.25">
      <c r="A35" s="25">
        <v>15</v>
      </c>
      <c r="B35" s="25" t="s">
        <v>259</v>
      </c>
      <c r="C35" s="25" t="s">
        <v>260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0.39997558519241921"/>
  </sheetPr>
  <dimension ref="A1:F35"/>
  <sheetViews>
    <sheetView zoomScale="130" workbookViewId="0">
      <pane ySplit="5" topLeftCell="A6" activePane="bottomLeft" state="frozen"/>
      <selection activeCell="B13" sqref="B13"/>
      <selection pane="bottomLeft"/>
    </sheetView>
  </sheetViews>
  <sheetFormatPr defaultColWidth="18.7109375" defaultRowHeight="15" x14ac:dyDescent="0.25"/>
  <cols>
    <col min="1" max="3" width="18.7109375" style="25"/>
  </cols>
  <sheetData>
    <row r="1" spans="1:6" s="26" customFormat="1" ht="39.950000000000003" customHeight="1" x14ac:dyDescent="0.25">
      <c r="A1" s="27" t="s">
        <v>189</v>
      </c>
      <c r="B1" s="28"/>
      <c r="C1" s="28"/>
    </row>
    <row r="2" spans="1:6" x14ac:dyDescent="0.25">
      <c r="A2" s="7" t="s">
        <v>190</v>
      </c>
      <c r="D2" s="25"/>
      <c r="E2" s="25"/>
      <c r="F2" s="25"/>
    </row>
    <row r="3" spans="1:6" x14ac:dyDescent="0.25">
      <c r="A3" s="7" t="s">
        <v>191</v>
      </c>
      <c r="D3" s="25"/>
      <c r="E3" s="25"/>
      <c r="F3" s="25"/>
    </row>
    <row r="4" spans="1:6" x14ac:dyDescent="0.25">
      <c r="A4" s="7" t="s">
        <v>192</v>
      </c>
      <c r="D4" s="25"/>
      <c r="E4" s="25"/>
      <c r="F4" s="25"/>
    </row>
    <row r="5" spans="1:6" x14ac:dyDescent="0.25">
      <c r="A5" s="25" t="s">
        <v>193</v>
      </c>
      <c r="B5" s="25" t="s">
        <v>261</v>
      </c>
      <c r="C5" s="25" t="s">
        <v>262</v>
      </c>
    </row>
    <row r="6" spans="1:6" x14ac:dyDescent="0.25">
      <c r="A6" s="25">
        <v>1</v>
      </c>
      <c r="B6" s="25" t="s">
        <v>263</v>
      </c>
      <c r="C6" s="25" t="s">
        <v>264</v>
      </c>
    </row>
    <row r="7" spans="1:6" x14ac:dyDescent="0.25">
      <c r="A7" s="25">
        <v>1</v>
      </c>
      <c r="B7" s="25" t="s">
        <v>265</v>
      </c>
      <c r="C7" s="25" t="s">
        <v>266</v>
      </c>
    </row>
    <row r="8" spans="1:6" x14ac:dyDescent="0.25">
      <c r="A8" s="25">
        <v>2</v>
      </c>
      <c r="B8" s="25" t="s">
        <v>267</v>
      </c>
      <c r="C8" s="25" t="s">
        <v>268</v>
      </c>
    </row>
    <row r="9" spans="1:6" x14ac:dyDescent="0.25">
      <c r="A9" s="25">
        <v>2</v>
      </c>
      <c r="B9" s="25" t="s">
        <v>269</v>
      </c>
      <c r="C9" s="25" t="s">
        <v>270</v>
      </c>
    </row>
    <row r="10" spans="1:6" x14ac:dyDescent="0.25">
      <c r="A10" s="25">
        <v>3</v>
      </c>
      <c r="B10" s="25" t="s">
        <v>271</v>
      </c>
      <c r="C10" s="25" t="s">
        <v>272</v>
      </c>
    </row>
    <row r="11" spans="1:6" x14ac:dyDescent="0.25">
      <c r="A11" s="25">
        <v>3</v>
      </c>
      <c r="B11" s="25" t="s">
        <v>273</v>
      </c>
      <c r="C11" s="25" t="s">
        <v>274</v>
      </c>
    </row>
    <row r="12" spans="1:6" x14ac:dyDescent="0.25">
      <c r="A12" s="25">
        <v>4</v>
      </c>
      <c r="B12" s="25" t="s">
        <v>275</v>
      </c>
      <c r="C12" s="25" t="s">
        <v>276</v>
      </c>
    </row>
    <row r="13" spans="1:6" x14ac:dyDescent="0.25">
      <c r="A13" s="25">
        <v>4</v>
      </c>
      <c r="B13" s="25" t="s">
        <v>277</v>
      </c>
      <c r="C13" s="25" t="s">
        <v>278</v>
      </c>
    </row>
    <row r="14" spans="1:6" x14ac:dyDescent="0.25">
      <c r="A14" s="25">
        <v>5</v>
      </c>
      <c r="B14" s="25" t="s">
        <v>279</v>
      </c>
      <c r="C14" s="25" t="s">
        <v>280</v>
      </c>
    </row>
    <row r="15" spans="1:6" x14ac:dyDescent="0.25">
      <c r="A15" s="25">
        <v>5</v>
      </c>
      <c r="B15" s="25" t="s">
        <v>281</v>
      </c>
      <c r="C15" s="25" t="s">
        <v>282</v>
      </c>
    </row>
    <row r="16" spans="1:6" x14ac:dyDescent="0.25">
      <c r="A16" s="25">
        <v>6</v>
      </c>
      <c r="B16" s="25" t="s">
        <v>283</v>
      </c>
      <c r="C16" s="25" t="s">
        <v>284</v>
      </c>
    </row>
    <row r="17" spans="1:3" x14ac:dyDescent="0.25">
      <c r="A17" s="25">
        <v>6</v>
      </c>
      <c r="B17" s="25" t="s">
        <v>285</v>
      </c>
      <c r="C17" s="25" t="s">
        <v>286</v>
      </c>
    </row>
    <row r="18" spans="1:3" x14ac:dyDescent="0.25">
      <c r="A18" s="25">
        <v>7</v>
      </c>
      <c r="B18" s="25" t="s">
        <v>287</v>
      </c>
      <c r="C18" s="25" t="s">
        <v>288</v>
      </c>
    </row>
    <row r="19" spans="1:3" x14ac:dyDescent="0.25">
      <c r="A19" s="25">
        <v>7</v>
      </c>
      <c r="B19" s="25" t="s">
        <v>289</v>
      </c>
      <c r="C19" s="25" t="s">
        <v>290</v>
      </c>
    </row>
    <row r="20" spans="1:3" x14ac:dyDescent="0.25">
      <c r="A20" s="25">
        <v>8</v>
      </c>
      <c r="B20" s="25" t="s">
        <v>291</v>
      </c>
      <c r="C20" s="25" t="s">
        <v>292</v>
      </c>
    </row>
    <row r="21" spans="1:3" x14ac:dyDescent="0.25">
      <c r="A21" s="25">
        <v>8</v>
      </c>
      <c r="B21" s="25" t="s">
        <v>293</v>
      </c>
      <c r="C21" s="25" t="s">
        <v>294</v>
      </c>
    </row>
    <row r="22" spans="1:3" x14ac:dyDescent="0.25">
      <c r="A22" s="25">
        <v>9</v>
      </c>
      <c r="B22" s="25" t="s">
        <v>295</v>
      </c>
      <c r="C22" s="25" t="s">
        <v>296</v>
      </c>
    </row>
    <row r="23" spans="1:3" x14ac:dyDescent="0.25">
      <c r="A23" s="25">
        <v>9</v>
      </c>
      <c r="B23" s="25" t="s">
        <v>297</v>
      </c>
      <c r="C23" s="25" t="s">
        <v>298</v>
      </c>
    </row>
    <row r="24" spans="1:3" x14ac:dyDescent="0.25">
      <c r="A24" s="25">
        <v>10</v>
      </c>
      <c r="B24" s="25" t="s">
        <v>299</v>
      </c>
      <c r="C24" s="25" t="s">
        <v>300</v>
      </c>
    </row>
    <row r="25" spans="1:3" x14ac:dyDescent="0.25">
      <c r="A25" s="25">
        <v>10</v>
      </c>
      <c r="B25" s="25" t="s">
        <v>301</v>
      </c>
      <c r="C25" s="25" t="s">
        <v>302</v>
      </c>
    </row>
    <row r="26" spans="1:3" x14ac:dyDescent="0.25">
      <c r="A26" s="25">
        <v>11</v>
      </c>
      <c r="B26" s="25" t="s">
        <v>303</v>
      </c>
      <c r="C26" s="25" t="s">
        <v>304</v>
      </c>
    </row>
    <row r="27" spans="1:3" x14ac:dyDescent="0.25">
      <c r="A27" s="25">
        <v>11</v>
      </c>
      <c r="B27" s="25" t="s">
        <v>305</v>
      </c>
      <c r="C27" s="25" t="s">
        <v>306</v>
      </c>
    </row>
    <row r="28" spans="1:3" x14ac:dyDescent="0.25">
      <c r="A28" s="25">
        <v>12</v>
      </c>
      <c r="B28" s="25" t="s">
        <v>307</v>
      </c>
      <c r="C28" s="25" t="s">
        <v>308</v>
      </c>
    </row>
    <row r="29" spans="1:3" x14ac:dyDescent="0.25">
      <c r="A29" s="25">
        <v>12</v>
      </c>
      <c r="B29" s="25" t="s">
        <v>309</v>
      </c>
      <c r="C29" s="25" t="s">
        <v>310</v>
      </c>
    </row>
    <row r="30" spans="1:3" x14ac:dyDescent="0.25">
      <c r="A30" s="25">
        <v>13</v>
      </c>
      <c r="B30" s="25" t="s">
        <v>311</v>
      </c>
      <c r="C30" s="25" t="s">
        <v>312</v>
      </c>
    </row>
    <row r="31" spans="1:3" x14ac:dyDescent="0.25">
      <c r="A31" s="25">
        <v>13</v>
      </c>
      <c r="B31" s="25" t="s">
        <v>313</v>
      </c>
      <c r="C31" s="25" t="s">
        <v>314</v>
      </c>
    </row>
    <row r="32" spans="1:3" x14ac:dyDescent="0.25">
      <c r="A32" s="25">
        <v>14</v>
      </c>
      <c r="B32" s="25" t="s">
        <v>315</v>
      </c>
      <c r="C32" s="25" t="s">
        <v>316</v>
      </c>
    </row>
    <row r="33" spans="1:3" x14ac:dyDescent="0.25">
      <c r="A33" s="25">
        <v>14</v>
      </c>
      <c r="B33" s="25" t="s">
        <v>317</v>
      </c>
      <c r="C33" s="25" t="s">
        <v>318</v>
      </c>
    </row>
    <row r="34" spans="1:3" x14ac:dyDescent="0.25">
      <c r="A34" s="25">
        <v>15</v>
      </c>
      <c r="B34" s="25" t="s">
        <v>319</v>
      </c>
      <c r="C34" s="25" t="s">
        <v>320</v>
      </c>
    </row>
    <row r="35" spans="1:3" x14ac:dyDescent="0.25">
      <c r="A35" s="25">
        <v>15</v>
      </c>
      <c r="B35" s="25" t="s">
        <v>321</v>
      </c>
      <c r="C35" s="25" t="s">
        <v>322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K50"/>
  <sheetViews>
    <sheetView workbookViewId="0">
      <selection activeCell="O1" sqref="O1"/>
    </sheetView>
  </sheetViews>
  <sheetFormatPr defaultRowHeight="15" x14ac:dyDescent="0.25"/>
  <cols>
    <col min="1" max="1" width="11.42578125" bestFit="1" customWidth="1"/>
    <col min="2" max="2" width="21.140625" bestFit="1" customWidth="1"/>
    <col min="3" max="3" width="12.5703125" bestFit="1" customWidth="1"/>
    <col min="4" max="4" width="13.140625" bestFit="1" customWidth="1"/>
    <col min="5" max="5" width="11.28515625" bestFit="1" customWidth="1"/>
    <col min="6" max="7" width="9.42578125" bestFit="1" customWidth="1"/>
    <col min="8" max="8" width="12.140625" bestFit="1" customWidth="1"/>
    <col min="9" max="9" width="10.140625" bestFit="1" customWidth="1"/>
    <col min="10" max="10" width="13.85546875" bestFit="1" customWidth="1"/>
    <col min="11" max="14" width="12.5703125" bestFit="1" customWidth="1"/>
    <col min="15" max="15" width="15.28515625" bestFit="1" customWidth="1"/>
    <col min="16" max="17" width="10.7109375" bestFit="1" customWidth="1"/>
    <col min="18" max="18" width="11" bestFit="1" customWidth="1"/>
    <col min="19" max="19" width="11.7109375" bestFit="1" customWidth="1"/>
    <col min="20" max="20" width="9.42578125" bestFit="1" customWidth="1"/>
    <col min="21" max="21" width="8.85546875" bestFit="1" customWidth="1"/>
    <col min="22" max="22" width="10.42578125" bestFit="1" customWidth="1"/>
    <col min="23" max="23" width="11" bestFit="1" customWidth="1"/>
    <col min="24" max="24" width="10.7109375" bestFit="1" customWidth="1"/>
    <col min="27" max="28" width="17.140625" customWidth="1"/>
    <col min="29" max="30" width="15.5703125" customWidth="1"/>
    <col min="31" max="31" width="12.5703125" customWidth="1"/>
    <col min="32" max="32" width="15.85546875" customWidth="1"/>
    <col min="34" max="34" width="11.85546875" customWidth="1"/>
    <col min="35" max="35" width="17" customWidth="1"/>
    <col min="37" max="37" width="13.5703125" customWidth="1"/>
  </cols>
  <sheetData>
    <row r="1" spans="1:37" x14ac:dyDescent="0.25">
      <c r="A1" s="25">
        <v>1</v>
      </c>
      <c r="B1" s="25">
        <v>2</v>
      </c>
      <c r="C1" s="25">
        <v>3</v>
      </c>
      <c r="D1" s="25">
        <v>4</v>
      </c>
      <c r="E1" s="25">
        <v>5</v>
      </c>
      <c r="F1" s="25">
        <v>6</v>
      </c>
      <c r="G1" s="25">
        <v>7</v>
      </c>
      <c r="H1" s="25">
        <v>8</v>
      </c>
      <c r="I1" s="25">
        <v>9</v>
      </c>
      <c r="J1" s="25">
        <v>10</v>
      </c>
      <c r="K1" s="25">
        <v>11</v>
      </c>
      <c r="L1" s="25">
        <v>12</v>
      </c>
      <c r="M1" s="25">
        <v>13</v>
      </c>
      <c r="N1" s="25">
        <v>14</v>
      </c>
      <c r="O1" s="25">
        <v>15</v>
      </c>
      <c r="P1" s="25">
        <v>16</v>
      </c>
      <c r="Q1" s="25">
        <v>17</v>
      </c>
      <c r="R1" s="25">
        <v>18</v>
      </c>
      <c r="S1" s="25">
        <v>19</v>
      </c>
      <c r="T1" s="25">
        <v>20</v>
      </c>
      <c r="U1" s="25">
        <v>21</v>
      </c>
      <c r="V1" s="25">
        <v>22</v>
      </c>
      <c r="W1" s="25">
        <v>23</v>
      </c>
      <c r="X1" s="25">
        <v>24</v>
      </c>
      <c r="Y1" s="25">
        <v>25</v>
      </c>
      <c r="Z1" s="25">
        <v>26</v>
      </c>
      <c r="AA1" s="25">
        <v>27</v>
      </c>
      <c r="AB1" s="25">
        <v>28</v>
      </c>
      <c r="AC1" s="25">
        <v>29</v>
      </c>
      <c r="AD1" s="25">
        <v>30</v>
      </c>
      <c r="AE1" s="25">
        <v>31</v>
      </c>
      <c r="AF1" s="25">
        <v>32</v>
      </c>
      <c r="AG1" s="25">
        <v>33</v>
      </c>
      <c r="AH1" s="25">
        <v>34</v>
      </c>
      <c r="AI1" s="25">
        <v>35</v>
      </c>
      <c r="AJ1" s="25">
        <v>36</v>
      </c>
      <c r="AK1" s="25">
        <v>37</v>
      </c>
    </row>
    <row r="2" spans="1:37" s="25" customFormat="1" x14ac:dyDescent="0.25">
      <c r="A2" s="32" t="s">
        <v>43</v>
      </c>
      <c r="B2" s="32" t="s">
        <v>328</v>
      </c>
      <c r="C2" s="32" t="s">
        <v>329</v>
      </c>
      <c r="D2" s="32" t="s">
        <v>330</v>
      </c>
      <c r="E2" s="32" t="s">
        <v>331</v>
      </c>
      <c r="F2" s="32" t="s">
        <v>332</v>
      </c>
      <c r="G2" s="32" t="s">
        <v>333</v>
      </c>
      <c r="H2" s="32" t="s">
        <v>334</v>
      </c>
      <c r="I2" s="32" t="s">
        <v>335</v>
      </c>
      <c r="J2" s="32" t="s">
        <v>336</v>
      </c>
      <c r="K2" s="32" t="s">
        <v>337</v>
      </c>
      <c r="L2" s="32" t="s">
        <v>338</v>
      </c>
      <c r="M2" s="32" t="s">
        <v>339</v>
      </c>
      <c r="N2" s="32" t="s">
        <v>340</v>
      </c>
      <c r="O2" s="32" t="s">
        <v>341</v>
      </c>
      <c r="P2" s="33" t="s">
        <v>342</v>
      </c>
      <c r="Q2" s="32" t="s">
        <v>343</v>
      </c>
      <c r="R2" s="34" t="s">
        <v>344</v>
      </c>
      <c r="S2" s="32" t="s">
        <v>345</v>
      </c>
      <c r="T2" s="32" t="s">
        <v>346</v>
      </c>
      <c r="U2" s="32" t="s">
        <v>347</v>
      </c>
      <c r="V2" s="32" t="s">
        <v>348</v>
      </c>
      <c r="W2" s="32" t="s">
        <v>349</v>
      </c>
      <c r="X2" s="32" t="s">
        <v>350</v>
      </c>
      <c r="AA2" s="35" t="s">
        <v>351</v>
      </c>
      <c r="AB2" s="36" t="s">
        <v>358</v>
      </c>
      <c r="AC2" s="36" t="s">
        <v>353</v>
      </c>
      <c r="AD2" s="36" t="s">
        <v>355</v>
      </c>
      <c r="AE2" s="35" t="s">
        <v>352</v>
      </c>
      <c r="AF2" s="36" t="s">
        <v>356</v>
      </c>
      <c r="AG2" s="35" t="s">
        <v>354</v>
      </c>
      <c r="AH2" s="36" t="s">
        <v>357</v>
      </c>
      <c r="AI2" s="36" t="s">
        <v>361</v>
      </c>
      <c r="AJ2" s="36" t="s">
        <v>362</v>
      </c>
      <c r="AK2" s="37" t="s">
        <v>370</v>
      </c>
    </row>
    <row r="3" spans="1:37" x14ac:dyDescent="0.25">
      <c r="A3" s="31" t="s">
        <v>67</v>
      </c>
      <c r="B3" s="31">
        <v>1</v>
      </c>
      <c r="C3" s="31" t="s">
        <v>61</v>
      </c>
      <c r="D3" s="31" t="s">
        <v>60</v>
      </c>
      <c r="E3" s="31" t="s">
        <v>324</v>
      </c>
      <c r="F3" s="31" t="s">
        <v>62</v>
      </c>
      <c r="G3" s="31" t="s">
        <v>63</v>
      </c>
      <c r="H3" s="31" t="s">
        <v>64</v>
      </c>
      <c r="I3" s="31">
        <v>0</v>
      </c>
      <c r="J3" s="31" t="s">
        <v>65</v>
      </c>
      <c r="K3" s="31">
        <v>4.92</v>
      </c>
      <c r="L3" s="31">
        <v>0</v>
      </c>
      <c r="M3" s="31">
        <v>0</v>
      </c>
      <c r="N3" s="31">
        <v>0</v>
      </c>
      <c r="O3" s="31" t="s">
        <v>327</v>
      </c>
      <c r="P3" s="31">
        <v>1.22</v>
      </c>
      <c r="Q3" s="31">
        <v>1</v>
      </c>
      <c r="R3" s="31">
        <v>1</v>
      </c>
      <c r="S3" s="31">
        <v>0.24</v>
      </c>
      <c r="T3" s="31">
        <v>1</v>
      </c>
      <c r="U3" s="31">
        <v>1</v>
      </c>
      <c r="V3" s="31"/>
      <c r="W3" s="31">
        <v>0</v>
      </c>
      <c r="X3" s="31">
        <v>8</v>
      </c>
      <c r="AA3" t="str">
        <f>FinalMelting[[#This Row],[FMPT_0]]&amp;"/"&amp;FinalMelting[[#This Row],[FMPT_1]]&amp;"/"&amp;FinalMelting[[#This Row],[FMPT_2]]&amp;"/"&amp;FinalMelting[[#This Row],[FMPT_3]]</f>
        <v>4,92/0/0/0</v>
      </c>
      <c r="AB3" t="str">
        <f>IF(FinalMelting[[#This Row],[MAES]]&lt;=MAES02_max,"Соотв.","Не соотв.")</f>
        <v>Соотв.</v>
      </c>
      <c r="AC3" t="str">
        <f>IF(FinalMelting[[#This Row],[MASS]],"Симметрично","Не симметрично")</f>
        <v>Симметрично</v>
      </c>
      <c r="AD3" t="str">
        <f>IF(AC3="Симметрично","Соотв.","Не соотв.")</f>
        <v>Соотв.</v>
      </c>
      <c r="AE3" t="str">
        <f>IF(FinalMelting[[#This Row],[MAHS]],"Заплавлено","Не заплавлено")</f>
        <v>Заплавлено</v>
      </c>
      <c r="AF3" t="str">
        <f>IF(AE3="Заплавлено","Соотв.","Не соотв.")</f>
        <v>Соотв.</v>
      </c>
      <c r="AG3">
        <f>COUNTIF(FinalMelting[[#This Row],[FMPT_0]:[FMPT_3]],"&gt;0")-1</f>
        <v>0</v>
      </c>
      <c r="AH3" t="str">
        <f>IF(AG3&lt;4,"Соотв.","Не соотв.")</f>
        <v>Соотв.</v>
      </c>
      <c r="AI3" t="str">
        <f>IF(FinalMelting[[#This Row],[CICS]]=1,DirtyAbsent,DitryExists)</f>
        <v>Загрязнение отсутствует</v>
      </c>
      <c r="AJ3" t="str">
        <f t="shared" ref="AJ3:AJ50" si="0">IF(AI3=DirtyAbsent,ComplyTxt,NonComplyTxt)</f>
        <v>Соотв.</v>
      </c>
      <c r="AK3" t="str">
        <f>IF(FinalMelting[[#This Row],[MAWT]]&gt;wall_th_min_02, ComplyTxt, NonComplyTxt)</f>
        <v>Соотв.</v>
      </c>
    </row>
    <row r="4" spans="1:37" x14ac:dyDescent="0.25">
      <c r="A4" s="31" t="s">
        <v>69</v>
      </c>
      <c r="B4" s="31">
        <v>1</v>
      </c>
      <c r="C4" s="31" t="s">
        <v>61</v>
      </c>
      <c r="D4" s="31" t="s">
        <v>60</v>
      </c>
      <c r="E4" s="31" t="s">
        <v>324</v>
      </c>
      <c r="F4" s="31" t="s">
        <v>62</v>
      </c>
      <c r="G4" s="31" t="s">
        <v>63</v>
      </c>
      <c r="H4" s="31" t="s">
        <v>64</v>
      </c>
      <c r="I4" s="31">
        <v>0</v>
      </c>
      <c r="J4" s="31" t="s">
        <v>65</v>
      </c>
      <c r="K4" s="31">
        <v>3.83</v>
      </c>
      <c r="L4" s="31">
        <v>0</v>
      </c>
      <c r="M4" s="31">
        <v>0</v>
      </c>
      <c r="N4" s="31">
        <v>0</v>
      </c>
      <c r="O4" s="31" t="s">
        <v>327</v>
      </c>
      <c r="P4" s="31">
        <v>1.24</v>
      </c>
      <c r="Q4" s="31">
        <v>1</v>
      </c>
      <c r="R4" s="31">
        <v>1</v>
      </c>
      <c r="S4" s="31">
        <v>0.23</v>
      </c>
      <c r="T4" s="31">
        <v>1</v>
      </c>
      <c r="U4" s="31">
        <v>1</v>
      </c>
      <c r="V4" s="31"/>
      <c r="W4" s="31">
        <v>0</v>
      </c>
      <c r="X4" s="31">
        <v>10</v>
      </c>
      <c r="AA4" t="str">
        <f>FinalMelting[[#This Row],[FMPT_0]]&amp;"/"&amp;FinalMelting[[#This Row],[FMPT_1]]&amp;"/"&amp;FinalMelting[[#This Row],[FMPT_2]]&amp;"/"&amp;FinalMelting[[#This Row],[FMPT_3]]</f>
        <v>3,83/0/0/0</v>
      </c>
      <c r="AB4" t="str">
        <f>IF(FinalMelting[[#This Row],[MAES]]&lt;=MAES02_max,"Соотв.","Не соотв.")</f>
        <v>Соотв.</v>
      </c>
      <c r="AC4" t="str">
        <f>IF(FinalMelting[[#This Row],[MASS]],"Симмертично","Не симметрично")</f>
        <v>Симмертично</v>
      </c>
      <c r="AD4" t="str">
        <f>IF(AC4="Симмертично","Соотв.","Не соотв.")</f>
        <v>Соотв.</v>
      </c>
      <c r="AE4" t="str">
        <f>IF(FinalMelting[[#This Row],[MAHS]],"Заплавлено","Не заплавлено")</f>
        <v>Заплавлено</v>
      </c>
      <c r="AF4" t="str">
        <f t="shared" ref="AF4:AF50" si="1">IF(AE4="Заплавлено","Соотв.","Не соотв.")</f>
        <v>Соотв.</v>
      </c>
      <c r="AG4">
        <f>COUNTIF(FinalMelting[[#This Row],[FMPT_0]:[FMPT_3]],"&gt;0")-1</f>
        <v>0</v>
      </c>
      <c r="AH4" t="str">
        <f t="shared" ref="AH4:AH50" si="2">IF(AG4&lt;4,"Соотв.","Не соотв.")</f>
        <v>Соотв.</v>
      </c>
      <c r="AI4" t="str">
        <f>IF(FinalMelting[[#This Row],[CICS]]=1,DirtyAbsent,DitryExists)</f>
        <v>Загрязнение отсутствует</v>
      </c>
      <c r="AJ4" t="str">
        <f t="shared" si="0"/>
        <v>Соотв.</v>
      </c>
      <c r="AK4" t="str">
        <f>IF(FinalMelting[[#This Row],[MAWT]]&gt;wall_th_min_02, ComplyTxt, NonComplyTxt)</f>
        <v>Соотв.</v>
      </c>
    </row>
    <row r="5" spans="1:37" x14ac:dyDescent="0.25">
      <c r="A5" s="31" t="s">
        <v>71</v>
      </c>
      <c r="B5" s="31">
        <v>1</v>
      </c>
      <c r="C5" s="31" t="s">
        <v>61</v>
      </c>
      <c r="D5" s="31" t="s">
        <v>60</v>
      </c>
      <c r="E5" s="31" t="s">
        <v>324</v>
      </c>
      <c r="F5" s="31" t="s">
        <v>62</v>
      </c>
      <c r="G5" s="31" t="s">
        <v>63</v>
      </c>
      <c r="H5" s="31" t="s">
        <v>64</v>
      </c>
      <c r="I5" s="31">
        <v>0</v>
      </c>
      <c r="J5" s="31" t="s">
        <v>65</v>
      </c>
      <c r="K5" s="31">
        <v>5.21</v>
      </c>
      <c r="L5" s="31">
        <v>5.21</v>
      </c>
      <c r="M5" s="31">
        <v>4.93</v>
      </c>
      <c r="N5" s="31">
        <v>0</v>
      </c>
      <c r="O5" s="31" t="s">
        <v>327</v>
      </c>
      <c r="P5" s="31">
        <v>1.29</v>
      </c>
      <c r="Q5" s="31">
        <v>1</v>
      </c>
      <c r="R5" s="31">
        <v>1</v>
      </c>
      <c r="S5" s="31">
        <v>0.05</v>
      </c>
      <c r="T5" s="31">
        <v>1</v>
      </c>
      <c r="U5" s="31">
        <v>0</v>
      </c>
      <c r="V5" s="31"/>
      <c r="W5" s="31">
        <v>0</v>
      </c>
      <c r="X5" s="31">
        <v>2</v>
      </c>
      <c r="AA5" t="str">
        <f>FinalMelting[[#This Row],[FMPT_0]]&amp;"/"&amp;FinalMelting[[#This Row],[FMPT_1]]&amp;"/"&amp;FinalMelting[[#This Row],[FMPT_2]]&amp;"/"&amp;FinalMelting[[#This Row],[FMPT_3]]</f>
        <v>5,21/5,21/4,93/0</v>
      </c>
      <c r="AB5" t="str">
        <f>IF(FinalMelting[[#This Row],[MAES]]&lt;=MAES02_max,"Соотв.","Не соотв.")</f>
        <v>Не соотв.</v>
      </c>
      <c r="AC5" t="str">
        <f>IF(FinalMelting[[#This Row],[MASS]],"Симмертично","Не симметрично")</f>
        <v>Симмертично</v>
      </c>
      <c r="AD5" t="str">
        <f t="shared" ref="AD5:AD50" si="3">IF(AC5="Симмертично","Соотв.","Не соотв.")</f>
        <v>Соотв.</v>
      </c>
      <c r="AE5" t="str">
        <f>IF(FinalMelting[[#This Row],[MAHS]],"Заплавлено","Не заплавлено")</f>
        <v>Заплавлено</v>
      </c>
      <c r="AF5" t="str">
        <f t="shared" si="1"/>
        <v>Соотв.</v>
      </c>
      <c r="AG5">
        <f>COUNTIF(FinalMelting[[#This Row],[FMPT_0]:[FMPT_3]],"&gt;0")-1</f>
        <v>2</v>
      </c>
      <c r="AH5" t="str">
        <f t="shared" si="2"/>
        <v>Соотв.</v>
      </c>
      <c r="AI5" t="str">
        <f>IF(FinalMelting[[#This Row],[CICS]]=1,DirtyAbsent,DitryExists)</f>
        <v>Загрязнение отсутствует</v>
      </c>
      <c r="AJ5" t="str">
        <f t="shared" si="0"/>
        <v>Соотв.</v>
      </c>
      <c r="AK5" t="str">
        <f>IF(FinalMelting[[#This Row],[MAWT]]&gt;wall_th_min_02, ComplyTxt, NonComplyTxt)</f>
        <v>Не соотв.</v>
      </c>
    </row>
    <row r="6" spans="1:37" x14ac:dyDescent="0.25">
      <c r="A6" s="31" t="s">
        <v>75</v>
      </c>
      <c r="B6" s="31">
        <v>1</v>
      </c>
      <c r="C6" s="31" t="s">
        <v>61</v>
      </c>
      <c r="D6" s="31" t="s">
        <v>60</v>
      </c>
      <c r="E6" s="31" t="s">
        <v>324</v>
      </c>
      <c r="F6" s="31" t="s">
        <v>62</v>
      </c>
      <c r="G6" s="31" t="s">
        <v>73</v>
      </c>
      <c r="H6" s="31" t="s">
        <v>64</v>
      </c>
      <c r="I6" s="31">
        <v>0</v>
      </c>
      <c r="J6" s="31" t="s">
        <v>74</v>
      </c>
      <c r="K6" s="31">
        <v>6.42</v>
      </c>
      <c r="L6" s="31">
        <v>0</v>
      </c>
      <c r="M6" s="31">
        <v>0</v>
      </c>
      <c r="N6" s="31">
        <v>0</v>
      </c>
      <c r="O6" s="31" t="s">
        <v>327</v>
      </c>
      <c r="P6" s="31">
        <v>1.22</v>
      </c>
      <c r="Q6" s="31">
        <v>1</v>
      </c>
      <c r="R6" s="31">
        <v>1</v>
      </c>
      <c r="S6" s="31">
        <v>0.27</v>
      </c>
      <c r="T6" s="31">
        <v>1</v>
      </c>
      <c r="U6" s="31">
        <v>1</v>
      </c>
      <c r="V6" s="31"/>
      <c r="W6" s="31">
        <v>0</v>
      </c>
      <c r="X6" s="31">
        <v>9</v>
      </c>
      <c r="AA6" t="str">
        <f>FinalMelting[[#This Row],[FMPT_0]]&amp;"/"&amp;FinalMelting[[#This Row],[FMPT_1]]&amp;"/"&amp;FinalMelting[[#This Row],[FMPT_2]]&amp;"/"&amp;FinalMelting[[#This Row],[FMPT_3]]</f>
        <v>6,42/0/0/0</v>
      </c>
      <c r="AB6" t="str">
        <f>IF(FinalMelting[[#This Row],[MAES]]&lt;=MAES02_max,"Соотв.","Не соотв.")</f>
        <v>Соотв.</v>
      </c>
      <c r="AC6" t="str">
        <f>IF(FinalMelting[[#This Row],[MASS]],"Симмертично","Не симметрично")</f>
        <v>Симмертично</v>
      </c>
      <c r="AD6" t="str">
        <f t="shared" si="3"/>
        <v>Соотв.</v>
      </c>
      <c r="AE6" t="str">
        <f>IF(FinalMelting[[#This Row],[MAHS]],"Заплавлено","Не заплавлено")</f>
        <v>Заплавлено</v>
      </c>
      <c r="AF6" t="str">
        <f t="shared" si="1"/>
        <v>Соотв.</v>
      </c>
      <c r="AG6">
        <f>COUNTIF(FinalMelting[[#This Row],[FMPT_0]:[FMPT_3]],"&gt;0")-1</f>
        <v>0</v>
      </c>
      <c r="AH6" t="str">
        <f t="shared" si="2"/>
        <v>Соотв.</v>
      </c>
      <c r="AI6" t="str">
        <f>IF(FinalMelting[[#This Row],[CICS]]=1,DirtyAbsent,DitryExists)</f>
        <v>Загрязнение отсутствует</v>
      </c>
      <c r="AJ6" t="str">
        <f t="shared" si="0"/>
        <v>Соотв.</v>
      </c>
      <c r="AK6" t="str">
        <f>IF(FinalMelting[[#This Row],[MAWT]]&gt;wall_th_min_02, ComplyTxt, NonComplyTxt)</f>
        <v>Соотв.</v>
      </c>
    </row>
    <row r="7" spans="1:37" x14ac:dyDescent="0.25">
      <c r="A7" s="31" t="s">
        <v>77</v>
      </c>
      <c r="B7" s="31">
        <v>1</v>
      </c>
      <c r="C7" s="31" t="s">
        <v>61</v>
      </c>
      <c r="D7" s="31" t="s">
        <v>60</v>
      </c>
      <c r="E7" s="31" t="s">
        <v>324</v>
      </c>
      <c r="F7" s="31" t="s">
        <v>62</v>
      </c>
      <c r="G7" s="31" t="s">
        <v>73</v>
      </c>
      <c r="H7" s="31" t="s">
        <v>64</v>
      </c>
      <c r="I7" s="31">
        <v>0</v>
      </c>
      <c r="J7" s="31" t="s">
        <v>74</v>
      </c>
      <c r="K7" s="31">
        <v>5.41</v>
      </c>
      <c r="L7" s="31">
        <v>0</v>
      </c>
      <c r="M7" s="31">
        <v>0</v>
      </c>
      <c r="N7" s="31">
        <v>0</v>
      </c>
      <c r="O7" s="31" t="s">
        <v>327</v>
      </c>
      <c r="P7" s="31">
        <v>1.21</v>
      </c>
      <c r="Q7" s="31">
        <v>1</v>
      </c>
      <c r="R7" s="31">
        <v>1</v>
      </c>
      <c r="S7" s="31">
        <v>0.11</v>
      </c>
      <c r="T7" s="31">
        <v>1</v>
      </c>
      <c r="U7" s="31">
        <v>1</v>
      </c>
      <c r="V7" s="31"/>
      <c r="W7" s="31">
        <v>0</v>
      </c>
      <c r="X7" s="31">
        <v>9</v>
      </c>
      <c r="AA7" t="str">
        <f>FinalMelting[[#This Row],[FMPT_0]]&amp;"/"&amp;FinalMelting[[#This Row],[FMPT_1]]&amp;"/"&amp;FinalMelting[[#This Row],[FMPT_2]]&amp;"/"&amp;FinalMelting[[#This Row],[FMPT_3]]</f>
        <v>5,41/0/0/0</v>
      </c>
      <c r="AB7" t="str">
        <f>IF(FinalMelting[[#This Row],[MAES]]&lt;=MAES02_max,"Соотв.","Не соотв.")</f>
        <v>Соотв.</v>
      </c>
      <c r="AC7" t="str">
        <f>IF(FinalMelting[[#This Row],[MASS]],"Симмертично","Не симметрично")</f>
        <v>Симмертично</v>
      </c>
      <c r="AD7" t="str">
        <f t="shared" si="3"/>
        <v>Соотв.</v>
      </c>
      <c r="AE7" t="str">
        <f>IF(FinalMelting[[#This Row],[MAHS]],"Заплавлено","Не заплавлено")</f>
        <v>Заплавлено</v>
      </c>
      <c r="AF7" t="str">
        <f t="shared" si="1"/>
        <v>Соотв.</v>
      </c>
      <c r="AG7">
        <f>COUNTIF(FinalMelting[[#This Row],[FMPT_0]:[FMPT_3]],"&gt;0")-1</f>
        <v>0</v>
      </c>
      <c r="AH7" t="str">
        <f t="shared" si="2"/>
        <v>Соотв.</v>
      </c>
      <c r="AI7" t="str">
        <f>IF(FinalMelting[[#This Row],[CICS]]=1,DirtyAbsent,DitryExists)</f>
        <v>Загрязнение отсутствует</v>
      </c>
      <c r="AJ7" t="str">
        <f t="shared" si="0"/>
        <v>Соотв.</v>
      </c>
      <c r="AK7" t="str">
        <f>IF(FinalMelting[[#This Row],[MAWT]]&gt;wall_th_min_02, ComplyTxt, NonComplyTxt)</f>
        <v>Соотв.</v>
      </c>
    </row>
    <row r="8" spans="1:37" x14ac:dyDescent="0.25">
      <c r="A8" s="31" t="s">
        <v>79</v>
      </c>
      <c r="B8" s="31">
        <v>1</v>
      </c>
      <c r="C8" s="31" t="s">
        <v>61</v>
      </c>
      <c r="D8" s="31" t="s">
        <v>60</v>
      </c>
      <c r="E8" s="31" t="s">
        <v>324</v>
      </c>
      <c r="F8" s="31" t="s">
        <v>62</v>
      </c>
      <c r="G8" s="31" t="s">
        <v>73</v>
      </c>
      <c r="H8" s="31" t="s">
        <v>64</v>
      </c>
      <c r="I8" s="31">
        <v>0</v>
      </c>
      <c r="J8" s="31" t="s">
        <v>74</v>
      </c>
      <c r="K8" s="31">
        <v>5.49</v>
      </c>
      <c r="L8" s="31">
        <v>0</v>
      </c>
      <c r="M8" s="31">
        <v>0</v>
      </c>
      <c r="N8" s="31">
        <v>0</v>
      </c>
      <c r="O8" s="31" t="s">
        <v>327</v>
      </c>
      <c r="P8" s="31">
        <v>1.21</v>
      </c>
      <c r="Q8" s="31">
        <v>1</v>
      </c>
      <c r="R8" s="31">
        <v>1</v>
      </c>
      <c r="S8" s="31">
        <v>0.28000000000000003</v>
      </c>
      <c r="T8" s="31">
        <v>1</v>
      </c>
      <c r="U8" s="31">
        <v>1</v>
      </c>
      <c r="V8" s="31"/>
      <c r="W8" s="31">
        <v>0</v>
      </c>
      <c r="X8" s="31">
        <v>8</v>
      </c>
      <c r="AA8" t="str">
        <f>FinalMelting[[#This Row],[FMPT_0]]&amp;"/"&amp;FinalMelting[[#This Row],[FMPT_1]]&amp;"/"&amp;FinalMelting[[#This Row],[FMPT_2]]&amp;"/"&amp;FinalMelting[[#This Row],[FMPT_3]]</f>
        <v>5,49/0/0/0</v>
      </c>
      <c r="AB8" t="str">
        <f>IF(FinalMelting[[#This Row],[MAES]]&lt;=MAES02_max,"Соотв.","Не соотв.")</f>
        <v>Соотв.</v>
      </c>
      <c r="AC8" t="str">
        <f>IF(FinalMelting[[#This Row],[MASS]],"Симмертично","Не симметрично")</f>
        <v>Симмертично</v>
      </c>
      <c r="AD8" t="str">
        <f t="shared" si="3"/>
        <v>Соотв.</v>
      </c>
      <c r="AE8" t="str">
        <f>IF(FinalMelting[[#This Row],[MAHS]],"Заплавлено","Не заплавлено")</f>
        <v>Заплавлено</v>
      </c>
      <c r="AF8" t="str">
        <f t="shared" si="1"/>
        <v>Соотв.</v>
      </c>
      <c r="AG8">
        <f>COUNTIF(FinalMelting[[#This Row],[FMPT_0]:[FMPT_3]],"&gt;0")-1</f>
        <v>0</v>
      </c>
      <c r="AH8" t="str">
        <f t="shared" si="2"/>
        <v>Соотв.</v>
      </c>
      <c r="AI8" t="str">
        <f>IF(FinalMelting[[#This Row],[CICS]]=1,DirtyAbsent,DitryExists)</f>
        <v>Загрязнение отсутствует</v>
      </c>
      <c r="AJ8" t="str">
        <f t="shared" si="0"/>
        <v>Соотв.</v>
      </c>
      <c r="AK8" t="str">
        <f>IF(FinalMelting[[#This Row],[MAWT]]&gt;wall_th_min_02, ComplyTxt, NonComplyTxt)</f>
        <v>Соотв.</v>
      </c>
    </row>
    <row r="9" spans="1:37" x14ac:dyDescent="0.25">
      <c r="A9" s="31" t="s">
        <v>82</v>
      </c>
      <c r="B9" s="31">
        <v>1</v>
      </c>
      <c r="C9" s="31" t="s">
        <v>61</v>
      </c>
      <c r="D9" s="31" t="s">
        <v>60</v>
      </c>
      <c r="E9" s="31" t="s">
        <v>323</v>
      </c>
      <c r="F9" s="31" t="s">
        <v>81</v>
      </c>
      <c r="G9" s="31" t="s">
        <v>73</v>
      </c>
      <c r="H9" s="31" t="s">
        <v>64</v>
      </c>
      <c r="I9" s="31">
        <v>0</v>
      </c>
      <c r="J9" s="31" t="s">
        <v>65</v>
      </c>
      <c r="K9" s="31">
        <v>6.22</v>
      </c>
      <c r="L9" s="31">
        <v>4.32</v>
      </c>
      <c r="M9" s="31">
        <v>5.0199999999999996</v>
      </c>
      <c r="N9" s="31">
        <v>0</v>
      </c>
      <c r="O9" s="31" t="s">
        <v>327</v>
      </c>
      <c r="P9" s="31">
        <v>1.18</v>
      </c>
      <c r="Q9" s="31">
        <v>1</v>
      </c>
      <c r="R9" s="31">
        <v>0</v>
      </c>
      <c r="S9" s="31">
        <v>-1</v>
      </c>
      <c r="T9" s="31">
        <v>1</v>
      </c>
      <c r="U9" s="31">
        <v>1</v>
      </c>
      <c r="V9" s="31"/>
      <c r="W9" s="31">
        <v>0</v>
      </c>
      <c r="X9" s="31">
        <v>3</v>
      </c>
      <c r="AA9" t="str">
        <f>FinalMelting[[#This Row],[FMPT_0]]&amp;"/"&amp;FinalMelting[[#This Row],[FMPT_1]]&amp;"/"&amp;FinalMelting[[#This Row],[FMPT_2]]&amp;"/"&amp;FinalMelting[[#This Row],[FMPT_3]]</f>
        <v>6,22/4,32/5,02/0</v>
      </c>
      <c r="AB9" t="str">
        <f>IF(FinalMelting[[#This Row],[MAES]]&lt;=MAES02_max,"Соотв.","Не соотв.")</f>
        <v>Соотв.</v>
      </c>
      <c r="AC9" t="str">
        <f>IF(FinalMelting[[#This Row],[MASS]],"Симмертично","Не симметрично")</f>
        <v>Симмертично</v>
      </c>
      <c r="AD9" t="str">
        <f t="shared" si="3"/>
        <v>Соотв.</v>
      </c>
      <c r="AE9" t="str">
        <f>IF(FinalMelting[[#This Row],[MAHS]],"Заплавлено","Не заплавлено")</f>
        <v>Не заплавлено</v>
      </c>
      <c r="AF9" t="str">
        <f t="shared" si="1"/>
        <v>Не соотв.</v>
      </c>
      <c r="AG9">
        <f>COUNTIF(FinalMelting[[#This Row],[FMPT_0]:[FMPT_3]],"&gt;0")-1</f>
        <v>2</v>
      </c>
      <c r="AH9" t="str">
        <f t="shared" si="2"/>
        <v>Соотв.</v>
      </c>
      <c r="AI9" t="str">
        <f>IF(FinalMelting[[#This Row],[CICS]]=1,DirtyAbsent,DitryExists)</f>
        <v>Загрязнение отсутствует</v>
      </c>
      <c r="AJ9" t="str">
        <f t="shared" si="0"/>
        <v>Соотв.</v>
      </c>
      <c r="AK9" t="str">
        <f>IF(FinalMelting[[#This Row],[MAWT]]&gt;wall_th_min_02, ComplyTxt, NonComplyTxt)</f>
        <v>Не соотв.</v>
      </c>
    </row>
    <row r="10" spans="1:37" x14ac:dyDescent="0.25">
      <c r="A10" s="31" t="s">
        <v>84</v>
      </c>
      <c r="B10" s="31">
        <v>1</v>
      </c>
      <c r="C10" s="31" t="s">
        <v>61</v>
      </c>
      <c r="D10" s="31" t="s">
        <v>60</v>
      </c>
      <c r="E10" s="31" t="s">
        <v>323</v>
      </c>
      <c r="F10" s="31" t="s">
        <v>81</v>
      </c>
      <c r="G10" s="31" t="s">
        <v>73</v>
      </c>
      <c r="H10" s="31" t="s">
        <v>64</v>
      </c>
      <c r="I10" s="31">
        <v>0</v>
      </c>
      <c r="J10" s="31" t="s">
        <v>65</v>
      </c>
      <c r="K10" s="31">
        <v>5.67</v>
      </c>
      <c r="L10" s="31">
        <v>0</v>
      </c>
      <c r="M10" s="31">
        <v>0</v>
      </c>
      <c r="N10" s="31">
        <v>0</v>
      </c>
      <c r="O10" s="31" t="s">
        <v>327</v>
      </c>
      <c r="P10" s="31">
        <v>1.17</v>
      </c>
      <c r="Q10" s="31">
        <v>1</v>
      </c>
      <c r="R10" s="31">
        <v>1</v>
      </c>
      <c r="S10" s="31">
        <v>0.18</v>
      </c>
      <c r="T10" s="31">
        <v>1</v>
      </c>
      <c r="U10" s="31">
        <v>1</v>
      </c>
      <c r="V10" s="31"/>
      <c r="W10" s="31">
        <v>0</v>
      </c>
      <c r="X10" s="31">
        <v>8</v>
      </c>
      <c r="AA10" t="str">
        <f>FinalMelting[[#This Row],[FMPT_0]]&amp;"/"&amp;FinalMelting[[#This Row],[FMPT_1]]&amp;"/"&amp;FinalMelting[[#This Row],[FMPT_2]]&amp;"/"&amp;FinalMelting[[#This Row],[FMPT_3]]</f>
        <v>5,67/0/0/0</v>
      </c>
      <c r="AB10" t="str">
        <f>IF(FinalMelting[[#This Row],[MAES]]&lt;=MAES02_max,"Соотв.","Не соотв.")</f>
        <v>Соотв.</v>
      </c>
      <c r="AC10" t="str">
        <f>IF(FinalMelting[[#This Row],[MASS]],"Симмертично","Не симметрично")</f>
        <v>Симмертично</v>
      </c>
      <c r="AD10" t="str">
        <f t="shared" si="3"/>
        <v>Соотв.</v>
      </c>
      <c r="AE10" t="str">
        <f>IF(FinalMelting[[#This Row],[MAHS]],"Заплавлено","Не заплавлено")</f>
        <v>Заплавлено</v>
      </c>
      <c r="AF10" t="str">
        <f t="shared" si="1"/>
        <v>Соотв.</v>
      </c>
      <c r="AG10">
        <f>COUNTIF(FinalMelting[[#This Row],[FMPT_0]:[FMPT_3]],"&gt;0")-1</f>
        <v>0</v>
      </c>
      <c r="AH10" t="str">
        <f t="shared" si="2"/>
        <v>Соотв.</v>
      </c>
      <c r="AI10" t="str">
        <f>IF(FinalMelting[[#This Row],[CICS]]=1,DirtyAbsent,DitryExists)</f>
        <v>Загрязнение отсутствует</v>
      </c>
      <c r="AJ10" t="str">
        <f t="shared" si="0"/>
        <v>Соотв.</v>
      </c>
      <c r="AK10" t="str">
        <f>IF(FinalMelting[[#This Row],[MAWT]]&gt;wall_th_min_02, ComplyTxt, NonComplyTxt)</f>
        <v>Соотв.</v>
      </c>
    </row>
    <row r="11" spans="1:37" x14ac:dyDescent="0.25">
      <c r="A11" s="31" t="s">
        <v>86</v>
      </c>
      <c r="B11" s="31">
        <v>1</v>
      </c>
      <c r="C11" s="31" t="s">
        <v>61</v>
      </c>
      <c r="D11" s="31" t="s">
        <v>60</v>
      </c>
      <c r="E11" s="31" t="s">
        <v>323</v>
      </c>
      <c r="F11" s="31" t="s">
        <v>81</v>
      </c>
      <c r="G11" s="31" t="s">
        <v>73</v>
      </c>
      <c r="H11" s="31" t="s">
        <v>64</v>
      </c>
      <c r="I11" s="31">
        <v>0</v>
      </c>
      <c r="J11" s="31" t="s">
        <v>65</v>
      </c>
      <c r="K11" s="31">
        <v>5.48</v>
      </c>
      <c r="L11" s="31">
        <v>0</v>
      </c>
      <c r="M11" s="31">
        <v>0</v>
      </c>
      <c r="N11" s="31">
        <v>0</v>
      </c>
      <c r="O11" s="31" t="s">
        <v>327</v>
      </c>
      <c r="P11" s="31">
        <v>1.21</v>
      </c>
      <c r="Q11" s="31">
        <v>1</v>
      </c>
      <c r="R11" s="31">
        <v>1</v>
      </c>
      <c r="S11" s="31">
        <v>0.28000000000000003</v>
      </c>
      <c r="T11" s="31">
        <v>1</v>
      </c>
      <c r="U11" s="31">
        <v>1</v>
      </c>
      <c r="V11" s="31"/>
      <c r="W11" s="31">
        <v>0</v>
      </c>
      <c r="X11" s="31">
        <v>10</v>
      </c>
      <c r="AA11" t="str">
        <f>FinalMelting[[#This Row],[FMPT_0]]&amp;"/"&amp;FinalMelting[[#This Row],[FMPT_1]]&amp;"/"&amp;FinalMelting[[#This Row],[FMPT_2]]&amp;"/"&amp;FinalMelting[[#This Row],[FMPT_3]]</f>
        <v>5,48/0/0/0</v>
      </c>
      <c r="AB11" t="str">
        <f>IF(FinalMelting[[#This Row],[MAES]]&lt;=MAES02_max,"Соотв.","Не соотв.")</f>
        <v>Соотв.</v>
      </c>
      <c r="AC11" t="str">
        <f>IF(FinalMelting[[#This Row],[MASS]],"Симмертично","Не симметрично")</f>
        <v>Симмертично</v>
      </c>
      <c r="AD11" t="str">
        <f t="shared" si="3"/>
        <v>Соотв.</v>
      </c>
      <c r="AE11" t="str">
        <f>IF(FinalMelting[[#This Row],[MAHS]],"Заплавлено","Не заплавлено")</f>
        <v>Заплавлено</v>
      </c>
      <c r="AF11" t="str">
        <f t="shared" si="1"/>
        <v>Соотв.</v>
      </c>
      <c r="AG11">
        <f>COUNTIF(FinalMelting[[#This Row],[FMPT_0]:[FMPT_3]],"&gt;0")-1</f>
        <v>0</v>
      </c>
      <c r="AH11" t="str">
        <f t="shared" si="2"/>
        <v>Соотв.</v>
      </c>
      <c r="AI11" t="str">
        <f>IF(FinalMelting[[#This Row],[CICS]]=1,DirtyAbsent,DitryExists)</f>
        <v>Загрязнение отсутствует</v>
      </c>
      <c r="AJ11" t="str">
        <f t="shared" si="0"/>
        <v>Соотв.</v>
      </c>
      <c r="AK11" t="str">
        <f>IF(FinalMelting[[#This Row],[MAWT]]&gt;wall_th_min_02, ComplyTxt, NonComplyTxt)</f>
        <v>Соотв.</v>
      </c>
    </row>
    <row r="12" spans="1:37" x14ac:dyDescent="0.25">
      <c r="A12" s="31" t="s">
        <v>88</v>
      </c>
      <c r="B12" s="31">
        <v>1</v>
      </c>
      <c r="C12" s="31" t="s">
        <v>61</v>
      </c>
      <c r="D12" s="31" t="s">
        <v>60</v>
      </c>
      <c r="E12" s="31" t="s">
        <v>323</v>
      </c>
      <c r="F12" s="31" t="s">
        <v>81</v>
      </c>
      <c r="G12" s="31" t="s">
        <v>63</v>
      </c>
      <c r="H12" s="31" t="s">
        <v>64</v>
      </c>
      <c r="I12" s="31">
        <v>0</v>
      </c>
      <c r="J12" s="31" t="s">
        <v>74</v>
      </c>
      <c r="K12" s="31">
        <v>6.2</v>
      </c>
      <c r="L12" s="31">
        <v>0</v>
      </c>
      <c r="M12" s="31">
        <v>0</v>
      </c>
      <c r="N12" s="31">
        <v>0</v>
      </c>
      <c r="O12" s="31" t="s">
        <v>327</v>
      </c>
      <c r="P12" s="31">
        <v>1.1599999999999999</v>
      </c>
      <c r="Q12" s="31">
        <v>1</v>
      </c>
      <c r="R12" s="31">
        <v>1</v>
      </c>
      <c r="S12" s="31">
        <v>0.18</v>
      </c>
      <c r="T12" s="31">
        <v>1</v>
      </c>
      <c r="U12" s="31">
        <v>1</v>
      </c>
      <c r="V12" s="31"/>
      <c r="W12" s="31">
        <v>0</v>
      </c>
      <c r="X12" s="31">
        <v>9</v>
      </c>
      <c r="AA12" t="str">
        <f>FinalMelting[[#This Row],[FMPT_0]]&amp;"/"&amp;FinalMelting[[#This Row],[FMPT_1]]&amp;"/"&amp;FinalMelting[[#This Row],[FMPT_2]]&amp;"/"&amp;FinalMelting[[#This Row],[FMPT_3]]</f>
        <v>6,2/0/0/0</v>
      </c>
      <c r="AB12" t="str">
        <f>IF(FinalMelting[[#This Row],[MAES]]&lt;=MAES02_max,"Соотв.","Не соотв.")</f>
        <v>Соотв.</v>
      </c>
      <c r="AC12" t="str">
        <f>IF(FinalMelting[[#This Row],[MASS]],"Симмертично","Не симметрично")</f>
        <v>Симмертично</v>
      </c>
      <c r="AD12" t="str">
        <f t="shared" si="3"/>
        <v>Соотв.</v>
      </c>
      <c r="AE12" t="str">
        <f>IF(FinalMelting[[#This Row],[MAHS]],"Заплавлено","Не заплавлено")</f>
        <v>Заплавлено</v>
      </c>
      <c r="AF12" t="str">
        <f t="shared" si="1"/>
        <v>Соотв.</v>
      </c>
      <c r="AG12">
        <f>COUNTIF(FinalMelting[[#This Row],[FMPT_0]:[FMPT_3]],"&gt;0")-1</f>
        <v>0</v>
      </c>
      <c r="AH12" t="str">
        <f t="shared" si="2"/>
        <v>Соотв.</v>
      </c>
      <c r="AI12" t="str">
        <f>IF(FinalMelting[[#This Row],[CICS]]=1,DirtyAbsent,DitryExists)</f>
        <v>Загрязнение отсутствует</v>
      </c>
      <c r="AJ12" t="str">
        <f t="shared" si="0"/>
        <v>Соотв.</v>
      </c>
      <c r="AK12" t="str">
        <f>IF(FinalMelting[[#This Row],[MAWT]]&gt;wall_th_min_02, ComplyTxt, NonComplyTxt)</f>
        <v>Соотв.</v>
      </c>
    </row>
    <row r="13" spans="1:37" x14ac:dyDescent="0.25">
      <c r="A13" s="31" t="s">
        <v>90</v>
      </c>
      <c r="B13" s="31">
        <v>1</v>
      </c>
      <c r="C13" s="31" t="s">
        <v>61</v>
      </c>
      <c r="D13" s="31" t="s">
        <v>60</v>
      </c>
      <c r="E13" s="31" t="s">
        <v>323</v>
      </c>
      <c r="F13" s="31" t="s">
        <v>81</v>
      </c>
      <c r="G13" s="31" t="s">
        <v>63</v>
      </c>
      <c r="H13" s="31" t="s">
        <v>64</v>
      </c>
      <c r="I13" s="31">
        <v>0</v>
      </c>
      <c r="J13" s="31" t="s">
        <v>74</v>
      </c>
      <c r="K13" s="31">
        <v>4.71</v>
      </c>
      <c r="L13" s="31">
        <v>0</v>
      </c>
      <c r="M13" s="31">
        <v>0</v>
      </c>
      <c r="N13" s="31">
        <v>0</v>
      </c>
      <c r="O13" s="31" t="s">
        <v>327</v>
      </c>
      <c r="P13" s="31">
        <v>1.2</v>
      </c>
      <c r="Q13" s="31">
        <v>1</v>
      </c>
      <c r="R13" s="31">
        <v>1</v>
      </c>
      <c r="S13" s="31">
        <v>0.26</v>
      </c>
      <c r="T13" s="31">
        <v>1</v>
      </c>
      <c r="U13" s="31">
        <v>1</v>
      </c>
      <c r="V13" s="31"/>
      <c r="W13" s="31">
        <v>0</v>
      </c>
      <c r="X13" s="31">
        <v>10</v>
      </c>
      <c r="AA13" t="str">
        <f>FinalMelting[[#This Row],[FMPT_0]]&amp;"/"&amp;FinalMelting[[#This Row],[FMPT_1]]&amp;"/"&amp;FinalMelting[[#This Row],[FMPT_2]]&amp;"/"&amp;FinalMelting[[#This Row],[FMPT_3]]</f>
        <v>4,71/0/0/0</v>
      </c>
      <c r="AB13" t="str">
        <f>IF(FinalMelting[[#This Row],[MAES]]&lt;=MAES02_max,"Соотв.","Не соотв.")</f>
        <v>Соотв.</v>
      </c>
      <c r="AC13" t="str">
        <f>IF(FinalMelting[[#This Row],[MASS]],"Симмертично","Не симметрично")</f>
        <v>Симмертично</v>
      </c>
      <c r="AD13" t="str">
        <f t="shared" si="3"/>
        <v>Соотв.</v>
      </c>
      <c r="AE13" t="str">
        <f>IF(FinalMelting[[#This Row],[MAHS]],"Заплавлено","Не заплавлено")</f>
        <v>Заплавлено</v>
      </c>
      <c r="AF13" t="str">
        <f t="shared" si="1"/>
        <v>Соотв.</v>
      </c>
      <c r="AG13">
        <f>COUNTIF(FinalMelting[[#This Row],[FMPT_0]:[FMPT_3]],"&gt;0")-1</f>
        <v>0</v>
      </c>
      <c r="AH13" t="str">
        <f t="shared" si="2"/>
        <v>Соотв.</v>
      </c>
      <c r="AI13" t="str">
        <f>IF(FinalMelting[[#This Row],[CICS]]=1,DirtyAbsent,DitryExists)</f>
        <v>Загрязнение отсутствует</v>
      </c>
      <c r="AJ13" t="str">
        <f t="shared" si="0"/>
        <v>Соотв.</v>
      </c>
      <c r="AK13" t="str">
        <f>IF(FinalMelting[[#This Row],[MAWT]]&gt;wall_th_min_02, ComplyTxt, NonComplyTxt)</f>
        <v>Соотв.</v>
      </c>
    </row>
    <row r="14" spans="1:37" x14ac:dyDescent="0.25">
      <c r="A14" s="31" t="s">
        <v>92</v>
      </c>
      <c r="B14" s="31">
        <v>1</v>
      </c>
      <c r="C14" s="31" t="s">
        <v>61</v>
      </c>
      <c r="D14" s="31" t="s">
        <v>60</v>
      </c>
      <c r="E14" s="31" t="s">
        <v>323</v>
      </c>
      <c r="F14" s="31" t="s">
        <v>81</v>
      </c>
      <c r="G14" s="31" t="s">
        <v>63</v>
      </c>
      <c r="H14" s="31" t="s">
        <v>64</v>
      </c>
      <c r="I14" s="31">
        <v>0</v>
      </c>
      <c r="J14" s="31" t="s">
        <v>74</v>
      </c>
      <c r="K14" s="31">
        <v>6.19</v>
      </c>
      <c r="L14" s="31">
        <v>5.17</v>
      </c>
      <c r="M14" s="31">
        <v>0</v>
      </c>
      <c r="N14" s="31">
        <v>0</v>
      </c>
      <c r="O14" s="31" t="s">
        <v>327</v>
      </c>
      <c r="P14" s="31">
        <v>1.21</v>
      </c>
      <c r="Q14" s="31">
        <v>1</v>
      </c>
      <c r="R14" s="31">
        <v>1</v>
      </c>
      <c r="S14" s="31">
        <v>0.19</v>
      </c>
      <c r="T14" s="31">
        <v>1</v>
      </c>
      <c r="U14" s="31">
        <v>1</v>
      </c>
      <c r="V14" s="31"/>
      <c r="W14" s="31">
        <v>0</v>
      </c>
      <c r="X14" s="31">
        <v>9</v>
      </c>
      <c r="AA14" t="str">
        <f>FinalMelting[[#This Row],[FMPT_0]]&amp;"/"&amp;FinalMelting[[#This Row],[FMPT_1]]&amp;"/"&amp;FinalMelting[[#This Row],[FMPT_2]]&amp;"/"&amp;FinalMelting[[#This Row],[FMPT_3]]</f>
        <v>6,19/5,17/0/0</v>
      </c>
      <c r="AB14" t="str">
        <f>IF(FinalMelting[[#This Row],[MAES]]&lt;=MAES02_max,"Соотв.","Не соотв.")</f>
        <v>Соотв.</v>
      </c>
      <c r="AC14" t="str">
        <f>IF(FinalMelting[[#This Row],[MASS]],"Симмертично","Не симметрично")</f>
        <v>Симмертично</v>
      </c>
      <c r="AD14" t="str">
        <f t="shared" si="3"/>
        <v>Соотв.</v>
      </c>
      <c r="AE14" t="str">
        <f>IF(FinalMelting[[#This Row],[MAHS]],"Заплавлено","Не заплавлено")</f>
        <v>Заплавлено</v>
      </c>
      <c r="AF14" t="str">
        <f t="shared" si="1"/>
        <v>Соотв.</v>
      </c>
      <c r="AG14">
        <f>COUNTIF(FinalMelting[[#This Row],[FMPT_0]:[FMPT_3]],"&gt;0")-1</f>
        <v>1</v>
      </c>
      <c r="AH14" t="str">
        <f t="shared" si="2"/>
        <v>Соотв.</v>
      </c>
      <c r="AI14" t="str">
        <f>IF(FinalMelting[[#This Row],[CICS]]=1,DirtyAbsent,DitryExists)</f>
        <v>Загрязнение отсутствует</v>
      </c>
      <c r="AJ14" t="str">
        <f t="shared" si="0"/>
        <v>Соотв.</v>
      </c>
      <c r="AK14" t="str">
        <f>IF(FinalMelting[[#This Row],[MAWT]]&gt;wall_th_min_02, ComplyTxt, NonComplyTxt)</f>
        <v>Соотв.</v>
      </c>
    </row>
    <row r="15" spans="1:37" x14ac:dyDescent="0.25">
      <c r="A15" s="31" t="s">
        <v>95</v>
      </c>
      <c r="B15" s="31">
        <v>1</v>
      </c>
      <c r="C15" s="31" t="s">
        <v>61</v>
      </c>
      <c r="D15" s="31" t="s">
        <v>60</v>
      </c>
      <c r="E15" s="31" t="s">
        <v>324</v>
      </c>
      <c r="F15" s="31" t="s">
        <v>81</v>
      </c>
      <c r="G15" s="31" t="s">
        <v>63</v>
      </c>
      <c r="H15" s="31" t="s">
        <v>94</v>
      </c>
      <c r="I15" s="31">
        <v>0</v>
      </c>
      <c r="J15" s="31" t="s">
        <v>65</v>
      </c>
      <c r="K15" s="31">
        <v>5.45</v>
      </c>
      <c r="L15" s="31">
        <v>0</v>
      </c>
      <c r="M15" s="31">
        <v>0</v>
      </c>
      <c r="N15" s="31">
        <v>0</v>
      </c>
      <c r="O15" s="31" t="s">
        <v>327</v>
      </c>
      <c r="P15" s="31">
        <v>1.25</v>
      </c>
      <c r="Q15" s="31">
        <v>1</v>
      </c>
      <c r="R15" s="31">
        <v>1</v>
      </c>
      <c r="S15" s="31">
        <v>0.28000000000000003</v>
      </c>
      <c r="T15" s="31">
        <v>1</v>
      </c>
      <c r="U15" s="31">
        <v>1</v>
      </c>
      <c r="V15" s="31"/>
      <c r="W15" s="31">
        <v>1</v>
      </c>
      <c r="X15" s="31">
        <v>10</v>
      </c>
      <c r="AA15" t="str">
        <f>FinalMelting[[#This Row],[FMPT_0]]&amp;"/"&amp;FinalMelting[[#This Row],[FMPT_1]]&amp;"/"&amp;FinalMelting[[#This Row],[FMPT_2]]&amp;"/"&amp;FinalMelting[[#This Row],[FMPT_3]]</f>
        <v>5,45/0/0/0</v>
      </c>
      <c r="AB15" t="str">
        <f>IF(FinalMelting[[#This Row],[MAES]]&lt;=MAES02_max,"Соотв.","Не соотв.")</f>
        <v>Соотв.</v>
      </c>
      <c r="AC15" t="str">
        <f>IF(FinalMelting[[#This Row],[MASS]],"Симмертично","Не симметрично")</f>
        <v>Симмертично</v>
      </c>
      <c r="AD15" t="str">
        <f t="shared" si="3"/>
        <v>Соотв.</v>
      </c>
      <c r="AE15" t="str">
        <f>IF(FinalMelting[[#This Row],[MAHS]],"Заплавлено","Не заплавлено")</f>
        <v>Заплавлено</v>
      </c>
      <c r="AF15" t="str">
        <f t="shared" si="1"/>
        <v>Соотв.</v>
      </c>
      <c r="AG15">
        <f>COUNTIF(FinalMelting[[#This Row],[FMPT_0]:[FMPT_3]],"&gt;0")-1</f>
        <v>0</v>
      </c>
      <c r="AH15" t="str">
        <f t="shared" si="2"/>
        <v>Соотв.</v>
      </c>
      <c r="AI15" t="str">
        <f>IF(FinalMelting[[#This Row],[CICS]]=1,DirtyAbsent,DitryExists)</f>
        <v>Загрязнение отсутствует</v>
      </c>
      <c r="AJ15" t="str">
        <f t="shared" si="0"/>
        <v>Соотв.</v>
      </c>
      <c r="AK15" t="str">
        <f>IF(FinalMelting[[#This Row],[MAWT]]&gt;wall_th_min_02, ComplyTxt, NonComplyTxt)</f>
        <v>Соотв.</v>
      </c>
    </row>
    <row r="16" spans="1:37" x14ac:dyDescent="0.25">
      <c r="A16" s="31" t="s">
        <v>97</v>
      </c>
      <c r="B16" s="31">
        <v>1</v>
      </c>
      <c r="C16" s="31" t="s">
        <v>61</v>
      </c>
      <c r="D16" s="31" t="s">
        <v>60</v>
      </c>
      <c r="E16" s="31" t="s">
        <v>324</v>
      </c>
      <c r="F16" s="31" t="s">
        <v>81</v>
      </c>
      <c r="G16" s="31" t="s">
        <v>63</v>
      </c>
      <c r="H16" s="31" t="s">
        <v>94</v>
      </c>
      <c r="I16" s="31">
        <v>0</v>
      </c>
      <c r="J16" s="31" t="s">
        <v>65</v>
      </c>
      <c r="K16" s="31">
        <v>5.46</v>
      </c>
      <c r="L16" s="31">
        <v>0</v>
      </c>
      <c r="M16" s="31">
        <v>0</v>
      </c>
      <c r="N16" s="31">
        <v>0</v>
      </c>
      <c r="O16" s="31" t="s">
        <v>327</v>
      </c>
      <c r="P16" s="31">
        <v>1.21</v>
      </c>
      <c r="Q16" s="31">
        <v>1</v>
      </c>
      <c r="R16" s="31">
        <v>1</v>
      </c>
      <c r="S16" s="31">
        <v>0.25</v>
      </c>
      <c r="T16" s="31">
        <v>1</v>
      </c>
      <c r="U16" s="31">
        <v>1</v>
      </c>
      <c r="V16" s="31"/>
      <c r="W16" s="31">
        <v>1</v>
      </c>
      <c r="X16" s="31">
        <v>10</v>
      </c>
      <c r="AA16" t="str">
        <f>FinalMelting[[#This Row],[FMPT_0]]&amp;"/"&amp;FinalMelting[[#This Row],[FMPT_1]]&amp;"/"&amp;FinalMelting[[#This Row],[FMPT_2]]&amp;"/"&amp;FinalMelting[[#This Row],[FMPT_3]]</f>
        <v>5,46/0/0/0</v>
      </c>
      <c r="AB16" t="str">
        <f>IF(FinalMelting[[#This Row],[MAES]]&lt;=MAES02_max,"Соотв.","Не соотв.")</f>
        <v>Соотв.</v>
      </c>
      <c r="AC16" t="str">
        <f>IF(FinalMelting[[#This Row],[MASS]],"Симмертично","Не симметрично")</f>
        <v>Симмертично</v>
      </c>
      <c r="AD16" t="str">
        <f t="shared" si="3"/>
        <v>Соотв.</v>
      </c>
      <c r="AE16" t="str">
        <f>IF(FinalMelting[[#This Row],[MAHS]],"Заплавлено","Не заплавлено")</f>
        <v>Заплавлено</v>
      </c>
      <c r="AF16" t="str">
        <f t="shared" si="1"/>
        <v>Соотв.</v>
      </c>
      <c r="AG16">
        <f>COUNTIF(FinalMelting[[#This Row],[FMPT_0]:[FMPT_3]],"&gt;0")-1</f>
        <v>0</v>
      </c>
      <c r="AH16" t="str">
        <f t="shared" si="2"/>
        <v>Соотв.</v>
      </c>
      <c r="AI16" t="str">
        <f>IF(FinalMelting[[#This Row],[CICS]]=1,DirtyAbsent,DitryExists)</f>
        <v>Загрязнение отсутствует</v>
      </c>
      <c r="AJ16" t="str">
        <f t="shared" si="0"/>
        <v>Соотв.</v>
      </c>
      <c r="AK16" t="str">
        <f>IF(FinalMelting[[#This Row],[MAWT]]&gt;wall_th_min_02, ComplyTxt, NonComplyTxt)</f>
        <v>Соотв.</v>
      </c>
    </row>
    <row r="17" spans="1:37" x14ac:dyDescent="0.25">
      <c r="A17" s="31" t="s">
        <v>99</v>
      </c>
      <c r="B17" s="31">
        <v>1</v>
      </c>
      <c r="C17" s="31" t="s">
        <v>61</v>
      </c>
      <c r="D17" s="31" t="s">
        <v>60</v>
      </c>
      <c r="E17" s="31" t="s">
        <v>324</v>
      </c>
      <c r="F17" s="31" t="s">
        <v>81</v>
      </c>
      <c r="G17" s="31" t="s">
        <v>63</v>
      </c>
      <c r="H17" s="31" t="s">
        <v>94</v>
      </c>
      <c r="I17" s="31">
        <v>0</v>
      </c>
      <c r="J17" s="31" t="s">
        <v>65</v>
      </c>
      <c r="K17" s="31">
        <v>5.09</v>
      </c>
      <c r="L17" s="31">
        <v>0</v>
      </c>
      <c r="M17" s="31">
        <v>0</v>
      </c>
      <c r="N17" s="31">
        <v>0</v>
      </c>
      <c r="O17" s="31" t="s">
        <v>327</v>
      </c>
      <c r="P17" s="31">
        <v>1.22</v>
      </c>
      <c r="Q17" s="31">
        <v>1</v>
      </c>
      <c r="R17" s="31">
        <v>1</v>
      </c>
      <c r="S17" s="31">
        <v>0.24</v>
      </c>
      <c r="T17" s="31">
        <v>1</v>
      </c>
      <c r="U17" s="31">
        <v>1</v>
      </c>
      <c r="V17" s="31"/>
      <c r="W17" s="31">
        <v>1</v>
      </c>
      <c r="X17" s="31">
        <v>9</v>
      </c>
      <c r="AA17" t="str">
        <f>FinalMelting[[#This Row],[FMPT_0]]&amp;"/"&amp;FinalMelting[[#This Row],[FMPT_1]]&amp;"/"&amp;FinalMelting[[#This Row],[FMPT_2]]&amp;"/"&amp;FinalMelting[[#This Row],[FMPT_3]]</f>
        <v>5,09/0/0/0</v>
      </c>
      <c r="AB17" t="str">
        <f>IF(FinalMelting[[#This Row],[MAES]]&lt;=MAES02_max,"Соотв.","Не соотв.")</f>
        <v>Соотв.</v>
      </c>
      <c r="AC17" t="str">
        <f>IF(FinalMelting[[#This Row],[MASS]],"Симмертично","Не симметрично")</f>
        <v>Симмертично</v>
      </c>
      <c r="AD17" t="str">
        <f t="shared" si="3"/>
        <v>Соотв.</v>
      </c>
      <c r="AE17" t="str">
        <f>IF(FinalMelting[[#This Row],[MAHS]],"Заплавлено","Не заплавлено")</f>
        <v>Заплавлено</v>
      </c>
      <c r="AF17" t="str">
        <f t="shared" si="1"/>
        <v>Соотв.</v>
      </c>
      <c r="AG17">
        <f>COUNTIF(FinalMelting[[#This Row],[FMPT_0]:[FMPT_3]],"&gt;0")-1</f>
        <v>0</v>
      </c>
      <c r="AH17" t="str">
        <f t="shared" si="2"/>
        <v>Соотв.</v>
      </c>
      <c r="AI17" t="str">
        <f>IF(FinalMelting[[#This Row],[CICS]]=1,DirtyAbsent,DitryExists)</f>
        <v>Загрязнение отсутствует</v>
      </c>
      <c r="AJ17" t="str">
        <f t="shared" si="0"/>
        <v>Соотв.</v>
      </c>
      <c r="AK17" t="str">
        <f>IF(FinalMelting[[#This Row],[MAWT]]&gt;wall_th_min_02, ComplyTxt, NonComplyTxt)</f>
        <v>Соотв.</v>
      </c>
    </row>
    <row r="18" spans="1:37" x14ac:dyDescent="0.25">
      <c r="A18" s="31" t="s">
        <v>101</v>
      </c>
      <c r="B18" s="31">
        <v>1</v>
      </c>
      <c r="C18" s="31" t="s">
        <v>61</v>
      </c>
      <c r="D18" s="31" t="s">
        <v>60</v>
      </c>
      <c r="E18" s="31" t="s">
        <v>324</v>
      </c>
      <c r="F18" s="31" t="s">
        <v>81</v>
      </c>
      <c r="G18" s="31" t="s">
        <v>73</v>
      </c>
      <c r="H18" s="31" t="s">
        <v>94</v>
      </c>
      <c r="I18" s="31">
        <v>0</v>
      </c>
      <c r="J18" s="31" t="s">
        <v>74</v>
      </c>
      <c r="K18" s="31">
        <v>5.6</v>
      </c>
      <c r="L18" s="31">
        <v>0</v>
      </c>
      <c r="M18" s="31">
        <v>0</v>
      </c>
      <c r="N18" s="31">
        <v>0</v>
      </c>
      <c r="O18" s="31" t="s">
        <v>327</v>
      </c>
      <c r="P18" s="31">
        <v>1.27</v>
      </c>
      <c r="Q18" s="31">
        <v>1</v>
      </c>
      <c r="R18" s="31">
        <v>1</v>
      </c>
      <c r="S18" s="31">
        <v>0.21</v>
      </c>
      <c r="T18" s="31">
        <v>1</v>
      </c>
      <c r="U18" s="31">
        <v>1</v>
      </c>
      <c r="V18" s="31"/>
      <c r="W18" s="31">
        <v>0</v>
      </c>
      <c r="X18" s="31">
        <v>7</v>
      </c>
      <c r="AA18" t="str">
        <f>FinalMelting[[#This Row],[FMPT_0]]&amp;"/"&amp;FinalMelting[[#This Row],[FMPT_1]]&amp;"/"&amp;FinalMelting[[#This Row],[FMPT_2]]&amp;"/"&amp;FinalMelting[[#This Row],[FMPT_3]]</f>
        <v>5,6/0/0/0</v>
      </c>
      <c r="AB18" t="str">
        <f>IF(FinalMelting[[#This Row],[MAES]]&lt;=MAES02_max,"Соотв.","Не соотв.")</f>
        <v>Не соотв.</v>
      </c>
      <c r="AC18" t="str">
        <f>IF(FinalMelting[[#This Row],[MASS]],"Симмертично","Не симметрично")</f>
        <v>Симмертично</v>
      </c>
      <c r="AD18" t="str">
        <f t="shared" si="3"/>
        <v>Соотв.</v>
      </c>
      <c r="AE18" t="str">
        <f>IF(FinalMelting[[#This Row],[MAHS]],"Заплавлено","Не заплавлено")</f>
        <v>Заплавлено</v>
      </c>
      <c r="AF18" t="str">
        <f t="shared" si="1"/>
        <v>Соотв.</v>
      </c>
      <c r="AG18">
        <f>COUNTIF(FinalMelting[[#This Row],[FMPT_0]:[FMPT_3]],"&gt;0")-1</f>
        <v>0</v>
      </c>
      <c r="AH18" t="str">
        <f t="shared" si="2"/>
        <v>Соотв.</v>
      </c>
      <c r="AI18" t="str">
        <f>IF(FinalMelting[[#This Row],[CICS]]=1,DirtyAbsent,DitryExists)</f>
        <v>Загрязнение отсутствует</v>
      </c>
      <c r="AJ18" t="str">
        <f t="shared" si="0"/>
        <v>Соотв.</v>
      </c>
      <c r="AK18" t="str">
        <f>IF(FinalMelting[[#This Row],[MAWT]]&gt;wall_th_min_02, ComplyTxt, NonComplyTxt)</f>
        <v>Соотв.</v>
      </c>
    </row>
    <row r="19" spans="1:37" x14ac:dyDescent="0.25">
      <c r="A19" s="31" t="s">
        <v>103</v>
      </c>
      <c r="B19" s="31">
        <v>1</v>
      </c>
      <c r="C19" s="31" t="s">
        <v>61</v>
      </c>
      <c r="D19" s="31" t="s">
        <v>60</v>
      </c>
      <c r="E19" s="31" t="s">
        <v>324</v>
      </c>
      <c r="F19" s="31" t="s">
        <v>81</v>
      </c>
      <c r="G19" s="31" t="s">
        <v>73</v>
      </c>
      <c r="H19" s="31" t="s">
        <v>94</v>
      </c>
      <c r="I19" s="31">
        <v>0</v>
      </c>
      <c r="J19" s="31" t="s">
        <v>74</v>
      </c>
      <c r="K19" s="31">
        <v>5.61</v>
      </c>
      <c r="L19" s="31">
        <v>4.87</v>
      </c>
      <c r="M19" s="31">
        <v>0</v>
      </c>
      <c r="N19" s="31">
        <v>0</v>
      </c>
      <c r="O19" s="31" t="s">
        <v>327</v>
      </c>
      <c r="P19" s="31">
        <v>1.22</v>
      </c>
      <c r="Q19" s="31">
        <v>1</v>
      </c>
      <c r="R19" s="31">
        <v>1</v>
      </c>
      <c r="S19" s="31">
        <v>0.14000000000000001</v>
      </c>
      <c r="T19" s="31">
        <v>1</v>
      </c>
      <c r="U19" s="31">
        <v>1</v>
      </c>
      <c r="V19" s="31"/>
      <c r="W19" s="31">
        <v>0</v>
      </c>
      <c r="X19" s="31">
        <v>8</v>
      </c>
      <c r="AA19" t="str">
        <f>FinalMelting[[#This Row],[FMPT_0]]&amp;"/"&amp;FinalMelting[[#This Row],[FMPT_1]]&amp;"/"&amp;FinalMelting[[#This Row],[FMPT_2]]&amp;"/"&amp;FinalMelting[[#This Row],[FMPT_3]]</f>
        <v>5,61/4,87/0/0</v>
      </c>
      <c r="AB19" t="str">
        <f>IF(FinalMelting[[#This Row],[MAES]]&lt;=MAES02_max,"Соотв.","Не соотв.")</f>
        <v>Соотв.</v>
      </c>
      <c r="AC19" t="str">
        <f>IF(FinalMelting[[#This Row],[MASS]],"Симмертично","Не симметрично")</f>
        <v>Симмертично</v>
      </c>
      <c r="AD19" t="str">
        <f t="shared" si="3"/>
        <v>Соотв.</v>
      </c>
      <c r="AE19" t="str">
        <f>IF(FinalMelting[[#This Row],[MAHS]],"Заплавлено","Не заплавлено")</f>
        <v>Заплавлено</v>
      </c>
      <c r="AF19" t="str">
        <f t="shared" si="1"/>
        <v>Соотв.</v>
      </c>
      <c r="AG19">
        <f>COUNTIF(FinalMelting[[#This Row],[FMPT_0]:[FMPT_3]],"&gt;0")-1</f>
        <v>1</v>
      </c>
      <c r="AH19" t="str">
        <f t="shared" si="2"/>
        <v>Соотв.</v>
      </c>
      <c r="AI19" t="str">
        <f>IF(FinalMelting[[#This Row],[CICS]]=1,DirtyAbsent,DitryExists)</f>
        <v>Загрязнение отсутствует</v>
      </c>
      <c r="AJ19" t="str">
        <f t="shared" si="0"/>
        <v>Соотв.</v>
      </c>
      <c r="AK19" t="str">
        <f>IF(FinalMelting[[#This Row],[MAWT]]&gt;wall_th_min_02, ComplyTxt, NonComplyTxt)</f>
        <v>Соотв.</v>
      </c>
    </row>
    <row r="20" spans="1:37" x14ac:dyDescent="0.25">
      <c r="A20" s="31" t="s">
        <v>105</v>
      </c>
      <c r="B20" s="31">
        <v>1</v>
      </c>
      <c r="C20" s="31" t="s">
        <v>61</v>
      </c>
      <c r="D20" s="31" t="s">
        <v>60</v>
      </c>
      <c r="E20" s="31" t="s">
        <v>324</v>
      </c>
      <c r="F20" s="31" t="s">
        <v>81</v>
      </c>
      <c r="G20" s="31" t="s">
        <v>73</v>
      </c>
      <c r="H20" s="31" t="s">
        <v>94</v>
      </c>
      <c r="I20" s="31">
        <v>0</v>
      </c>
      <c r="J20" s="31" t="s">
        <v>74</v>
      </c>
      <c r="K20" s="31">
        <v>5.78</v>
      </c>
      <c r="L20" s="31">
        <v>0</v>
      </c>
      <c r="M20" s="31">
        <v>0</v>
      </c>
      <c r="N20" s="31">
        <v>0</v>
      </c>
      <c r="O20" s="31" t="s">
        <v>327</v>
      </c>
      <c r="P20" s="31">
        <v>1.24</v>
      </c>
      <c r="Q20" s="31">
        <v>1</v>
      </c>
      <c r="R20" s="31">
        <v>1</v>
      </c>
      <c r="S20" s="31">
        <v>0.26</v>
      </c>
      <c r="T20" s="31">
        <v>1</v>
      </c>
      <c r="U20" s="31">
        <v>1</v>
      </c>
      <c r="V20" s="31"/>
      <c r="W20" s="31">
        <v>0</v>
      </c>
      <c r="X20" s="31">
        <v>9</v>
      </c>
      <c r="AA20" t="str">
        <f>FinalMelting[[#This Row],[FMPT_0]]&amp;"/"&amp;FinalMelting[[#This Row],[FMPT_1]]&amp;"/"&amp;FinalMelting[[#This Row],[FMPT_2]]&amp;"/"&amp;FinalMelting[[#This Row],[FMPT_3]]</f>
        <v>5,78/0/0/0</v>
      </c>
      <c r="AB20" t="str">
        <f>IF(FinalMelting[[#This Row],[MAES]]&lt;=MAES02_max,"Соотв.","Не соотв.")</f>
        <v>Соотв.</v>
      </c>
      <c r="AC20" t="str">
        <f>IF(FinalMelting[[#This Row],[MASS]],"Симмертично","Не симметрично")</f>
        <v>Симмертично</v>
      </c>
      <c r="AD20" t="str">
        <f t="shared" si="3"/>
        <v>Соотв.</v>
      </c>
      <c r="AE20" t="str">
        <f>IF(FinalMelting[[#This Row],[MAHS]],"Заплавлено","Не заплавлено")</f>
        <v>Заплавлено</v>
      </c>
      <c r="AF20" t="str">
        <f t="shared" si="1"/>
        <v>Соотв.</v>
      </c>
      <c r="AG20">
        <f>COUNTIF(FinalMelting[[#This Row],[FMPT_0]:[FMPT_3]],"&gt;0")-1</f>
        <v>0</v>
      </c>
      <c r="AH20" t="str">
        <f t="shared" si="2"/>
        <v>Соотв.</v>
      </c>
      <c r="AI20" t="str">
        <f>IF(FinalMelting[[#This Row],[CICS]]=1,DirtyAbsent,DitryExists)</f>
        <v>Загрязнение отсутствует</v>
      </c>
      <c r="AJ20" t="str">
        <f t="shared" si="0"/>
        <v>Соотв.</v>
      </c>
      <c r="AK20" t="str">
        <f>IF(FinalMelting[[#This Row],[MAWT]]&gt;wall_th_min_02, ComplyTxt, NonComplyTxt)</f>
        <v>Соотв.</v>
      </c>
    </row>
    <row r="21" spans="1:37" x14ac:dyDescent="0.25">
      <c r="A21" s="31" t="s">
        <v>107</v>
      </c>
      <c r="B21" s="31">
        <v>1</v>
      </c>
      <c r="C21" s="31" t="s">
        <v>61</v>
      </c>
      <c r="D21" s="31" t="s">
        <v>60</v>
      </c>
      <c r="E21" s="31" t="s">
        <v>323</v>
      </c>
      <c r="F21" s="31" t="s">
        <v>62</v>
      </c>
      <c r="G21" s="31" t="s">
        <v>73</v>
      </c>
      <c r="H21" s="31" t="s">
        <v>94</v>
      </c>
      <c r="I21" s="31">
        <v>0</v>
      </c>
      <c r="J21" s="31" t="s">
        <v>65</v>
      </c>
      <c r="K21" s="31">
        <v>5.62</v>
      </c>
      <c r="L21" s="31">
        <v>0</v>
      </c>
      <c r="M21" s="31">
        <v>0</v>
      </c>
      <c r="N21" s="31">
        <v>0</v>
      </c>
      <c r="O21" s="31" t="s">
        <v>327</v>
      </c>
      <c r="P21" s="31">
        <v>1.22</v>
      </c>
      <c r="Q21" s="31">
        <v>1</v>
      </c>
      <c r="R21" s="31">
        <v>1</v>
      </c>
      <c r="S21" s="31">
        <v>0.23</v>
      </c>
      <c r="T21" s="31">
        <v>1</v>
      </c>
      <c r="U21" s="31">
        <v>1</v>
      </c>
      <c r="V21" s="31"/>
      <c r="W21" s="31">
        <v>0</v>
      </c>
      <c r="X21" s="31">
        <v>10</v>
      </c>
      <c r="AA21" t="str">
        <f>FinalMelting[[#This Row],[FMPT_0]]&amp;"/"&amp;FinalMelting[[#This Row],[FMPT_1]]&amp;"/"&amp;FinalMelting[[#This Row],[FMPT_2]]&amp;"/"&amp;FinalMelting[[#This Row],[FMPT_3]]</f>
        <v>5,62/0/0/0</v>
      </c>
      <c r="AB21" t="str">
        <f>IF(FinalMelting[[#This Row],[MAES]]&lt;=MAES02_max,"Соотв.","Не соотв.")</f>
        <v>Соотв.</v>
      </c>
      <c r="AC21" t="str">
        <f>IF(FinalMelting[[#This Row],[MASS]],"Симмертично","Не симметрично")</f>
        <v>Симмертично</v>
      </c>
      <c r="AD21" t="str">
        <f t="shared" si="3"/>
        <v>Соотв.</v>
      </c>
      <c r="AE21" t="str">
        <f>IF(FinalMelting[[#This Row],[MAHS]],"Заплавлено","Не заплавлено")</f>
        <v>Заплавлено</v>
      </c>
      <c r="AF21" t="str">
        <f t="shared" si="1"/>
        <v>Соотв.</v>
      </c>
      <c r="AG21">
        <f>COUNTIF(FinalMelting[[#This Row],[FMPT_0]:[FMPT_3]],"&gt;0")-1</f>
        <v>0</v>
      </c>
      <c r="AH21" t="str">
        <f t="shared" si="2"/>
        <v>Соотв.</v>
      </c>
      <c r="AI21" t="str">
        <f>IF(FinalMelting[[#This Row],[CICS]]=1,DirtyAbsent,DitryExists)</f>
        <v>Загрязнение отсутствует</v>
      </c>
      <c r="AJ21" t="str">
        <f t="shared" si="0"/>
        <v>Соотв.</v>
      </c>
      <c r="AK21" t="str">
        <f>IF(FinalMelting[[#This Row],[MAWT]]&gt;wall_th_min_02, ComplyTxt, NonComplyTxt)</f>
        <v>Соотв.</v>
      </c>
    </row>
    <row r="22" spans="1:37" x14ac:dyDescent="0.25">
      <c r="A22" s="31" t="s">
        <v>109</v>
      </c>
      <c r="B22" s="31">
        <v>1</v>
      </c>
      <c r="C22" s="31" t="s">
        <v>61</v>
      </c>
      <c r="D22" s="31" t="s">
        <v>60</v>
      </c>
      <c r="E22" s="31" t="s">
        <v>323</v>
      </c>
      <c r="F22" s="31" t="s">
        <v>62</v>
      </c>
      <c r="G22" s="31" t="s">
        <v>73</v>
      </c>
      <c r="H22" s="31" t="s">
        <v>94</v>
      </c>
      <c r="I22" s="31">
        <v>0</v>
      </c>
      <c r="J22" s="31" t="s">
        <v>65</v>
      </c>
      <c r="K22" s="31">
        <v>5.84</v>
      </c>
      <c r="L22" s="31">
        <v>0</v>
      </c>
      <c r="M22" s="31">
        <v>0</v>
      </c>
      <c r="N22" s="31">
        <v>0</v>
      </c>
      <c r="O22" s="31" t="s">
        <v>327</v>
      </c>
      <c r="P22" s="31">
        <v>1.1599999999999999</v>
      </c>
      <c r="Q22" s="31">
        <v>1</v>
      </c>
      <c r="R22" s="31">
        <v>1</v>
      </c>
      <c r="S22" s="31">
        <v>0.25</v>
      </c>
      <c r="T22" s="31">
        <v>1</v>
      </c>
      <c r="U22" s="31">
        <v>1</v>
      </c>
      <c r="V22" s="31"/>
      <c r="W22" s="31">
        <v>0</v>
      </c>
      <c r="X22" s="31">
        <v>10</v>
      </c>
      <c r="AA22" t="str">
        <f>FinalMelting[[#This Row],[FMPT_0]]&amp;"/"&amp;FinalMelting[[#This Row],[FMPT_1]]&amp;"/"&amp;FinalMelting[[#This Row],[FMPT_2]]&amp;"/"&amp;FinalMelting[[#This Row],[FMPT_3]]</f>
        <v>5,84/0/0/0</v>
      </c>
      <c r="AB22" t="str">
        <f>IF(FinalMelting[[#This Row],[MAES]]&lt;=MAES02_max,"Соотв.","Не соотв.")</f>
        <v>Соотв.</v>
      </c>
      <c r="AC22" t="str">
        <f>IF(FinalMelting[[#This Row],[MASS]],"Симмертично","Не симметрично")</f>
        <v>Симмертично</v>
      </c>
      <c r="AD22" t="str">
        <f t="shared" si="3"/>
        <v>Соотв.</v>
      </c>
      <c r="AE22" t="str">
        <f>IF(FinalMelting[[#This Row],[MAHS]],"Заплавлено","Не заплавлено")</f>
        <v>Заплавлено</v>
      </c>
      <c r="AF22" t="str">
        <f t="shared" si="1"/>
        <v>Соотв.</v>
      </c>
      <c r="AG22">
        <f>COUNTIF(FinalMelting[[#This Row],[FMPT_0]:[FMPT_3]],"&gt;0")-1</f>
        <v>0</v>
      </c>
      <c r="AH22" t="str">
        <f t="shared" si="2"/>
        <v>Соотв.</v>
      </c>
      <c r="AI22" t="str">
        <f>IF(FinalMelting[[#This Row],[CICS]]=1,DirtyAbsent,DitryExists)</f>
        <v>Загрязнение отсутствует</v>
      </c>
      <c r="AJ22" t="str">
        <f t="shared" si="0"/>
        <v>Соотв.</v>
      </c>
      <c r="AK22" t="str">
        <f>IF(FinalMelting[[#This Row],[MAWT]]&gt;wall_th_min_02, ComplyTxt, NonComplyTxt)</f>
        <v>Соотв.</v>
      </c>
    </row>
    <row r="23" spans="1:37" x14ac:dyDescent="0.25">
      <c r="A23" s="31" t="s">
        <v>111</v>
      </c>
      <c r="B23" s="31">
        <v>1</v>
      </c>
      <c r="C23" s="31" t="s">
        <v>61</v>
      </c>
      <c r="D23" s="31" t="s">
        <v>60</v>
      </c>
      <c r="E23" s="31" t="s">
        <v>323</v>
      </c>
      <c r="F23" s="31" t="s">
        <v>62</v>
      </c>
      <c r="G23" s="31" t="s">
        <v>73</v>
      </c>
      <c r="H23" s="31" t="s">
        <v>94</v>
      </c>
      <c r="I23" s="31">
        <v>0</v>
      </c>
      <c r="J23" s="31" t="s">
        <v>65</v>
      </c>
      <c r="K23" s="31">
        <v>5.46</v>
      </c>
      <c r="L23" s="31">
        <v>0</v>
      </c>
      <c r="M23" s="31">
        <v>0</v>
      </c>
      <c r="N23" s="31">
        <v>0</v>
      </c>
      <c r="O23" s="31" t="s">
        <v>327</v>
      </c>
      <c r="P23" s="31">
        <v>1.21</v>
      </c>
      <c r="Q23" s="31">
        <v>1</v>
      </c>
      <c r="R23" s="31">
        <v>1</v>
      </c>
      <c r="S23" s="31">
        <v>0.2</v>
      </c>
      <c r="T23" s="31">
        <v>1</v>
      </c>
      <c r="U23" s="31">
        <v>1</v>
      </c>
      <c r="V23" s="31"/>
      <c r="W23" s="31">
        <v>0</v>
      </c>
      <c r="X23" s="31">
        <v>10</v>
      </c>
      <c r="AA23" t="str">
        <f>FinalMelting[[#This Row],[FMPT_0]]&amp;"/"&amp;FinalMelting[[#This Row],[FMPT_1]]&amp;"/"&amp;FinalMelting[[#This Row],[FMPT_2]]&amp;"/"&amp;FinalMelting[[#This Row],[FMPT_3]]</f>
        <v>5,46/0/0/0</v>
      </c>
      <c r="AB23" t="str">
        <f>IF(FinalMelting[[#This Row],[MAES]]&lt;=MAES02_max,"Соотв.","Не соотв.")</f>
        <v>Соотв.</v>
      </c>
      <c r="AC23" t="str">
        <f>IF(FinalMelting[[#This Row],[MASS]],"Симмертично","Не симметрично")</f>
        <v>Симмертично</v>
      </c>
      <c r="AD23" t="str">
        <f t="shared" si="3"/>
        <v>Соотв.</v>
      </c>
      <c r="AE23" t="str">
        <f>IF(FinalMelting[[#This Row],[MAHS]],"Заплавлено","Не заплавлено")</f>
        <v>Заплавлено</v>
      </c>
      <c r="AF23" t="str">
        <f t="shared" si="1"/>
        <v>Соотв.</v>
      </c>
      <c r="AG23">
        <f>COUNTIF(FinalMelting[[#This Row],[FMPT_0]:[FMPT_3]],"&gt;0")-1</f>
        <v>0</v>
      </c>
      <c r="AH23" t="str">
        <f t="shared" si="2"/>
        <v>Соотв.</v>
      </c>
      <c r="AI23" t="str">
        <f>IF(FinalMelting[[#This Row],[CICS]]=1,DirtyAbsent,DitryExists)</f>
        <v>Загрязнение отсутствует</v>
      </c>
      <c r="AJ23" t="str">
        <f t="shared" si="0"/>
        <v>Соотв.</v>
      </c>
      <c r="AK23" t="str">
        <f>IF(FinalMelting[[#This Row],[MAWT]]&gt;wall_th_min_02, ComplyTxt, NonComplyTxt)</f>
        <v>Соотв.</v>
      </c>
    </row>
    <row r="24" spans="1:37" x14ac:dyDescent="0.25">
      <c r="A24" s="31" t="s">
        <v>113</v>
      </c>
      <c r="B24" s="31">
        <v>1</v>
      </c>
      <c r="C24" s="31" t="s">
        <v>61</v>
      </c>
      <c r="D24" s="31" t="s">
        <v>60</v>
      </c>
      <c r="E24" s="31" t="s">
        <v>323</v>
      </c>
      <c r="F24" s="31" t="s">
        <v>62</v>
      </c>
      <c r="G24" s="31" t="s">
        <v>63</v>
      </c>
      <c r="H24" s="31" t="s">
        <v>94</v>
      </c>
      <c r="I24" s="31">
        <v>0</v>
      </c>
      <c r="J24" s="31" t="s">
        <v>74</v>
      </c>
      <c r="K24" s="31">
        <v>5.79</v>
      </c>
      <c r="L24" s="31">
        <v>5.19</v>
      </c>
      <c r="M24" s="31">
        <v>0</v>
      </c>
      <c r="N24" s="31">
        <v>0</v>
      </c>
      <c r="O24" s="31" t="s">
        <v>327</v>
      </c>
      <c r="P24" s="31">
        <v>1.24</v>
      </c>
      <c r="Q24" s="31">
        <v>1</v>
      </c>
      <c r="R24" s="31">
        <v>1</v>
      </c>
      <c r="S24" s="31">
        <v>0.16</v>
      </c>
      <c r="T24" s="31">
        <v>1</v>
      </c>
      <c r="U24" s="31">
        <v>1</v>
      </c>
      <c r="V24" s="31"/>
      <c r="W24" s="31">
        <v>0</v>
      </c>
      <c r="X24" s="31">
        <v>10</v>
      </c>
      <c r="AA24" t="str">
        <f>FinalMelting[[#This Row],[FMPT_0]]&amp;"/"&amp;FinalMelting[[#This Row],[FMPT_1]]&amp;"/"&amp;FinalMelting[[#This Row],[FMPT_2]]&amp;"/"&amp;FinalMelting[[#This Row],[FMPT_3]]</f>
        <v>5,79/5,19/0/0</v>
      </c>
      <c r="AB24" t="str">
        <f>IF(FinalMelting[[#This Row],[MAES]]&lt;=MAES02_max,"Соотв.","Не соотв.")</f>
        <v>Соотв.</v>
      </c>
      <c r="AC24" t="str">
        <f>IF(FinalMelting[[#This Row],[MASS]],"Симмертично","Не симметрично")</f>
        <v>Симмертично</v>
      </c>
      <c r="AD24" t="str">
        <f t="shared" si="3"/>
        <v>Соотв.</v>
      </c>
      <c r="AE24" t="str">
        <f>IF(FinalMelting[[#This Row],[MAHS]],"Заплавлено","Не заплавлено")</f>
        <v>Заплавлено</v>
      </c>
      <c r="AF24" t="str">
        <f t="shared" si="1"/>
        <v>Соотв.</v>
      </c>
      <c r="AG24">
        <f>COUNTIF(FinalMelting[[#This Row],[FMPT_0]:[FMPT_3]],"&gt;0")-1</f>
        <v>1</v>
      </c>
      <c r="AH24" t="str">
        <f t="shared" si="2"/>
        <v>Соотв.</v>
      </c>
      <c r="AI24" t="str">
        <f>IF(FinalMelting[[#This Row],[CICS]]=1,DirtyAbsent,DitryExists)</f>
        <v>Загрязнение отсутствует</v>
      </c>
      <c r="AJ24" t="str">
        <f t="shared" si="0"/>
        <v>Соотв.</v>
      </c>
      <c r="AK24" t="str">
        <f>IF(FinalMelting[[#This Row],[MAWT]]&gt;wall_th_min_02, ComplyTxt, NonComplyTxt)</f>
        <v>Соотв.</v>
      </c>
    </row>
    <row r="25" spans="1:37" x14ac:dyDescent="0.25">
      <c r="A25" s="31" t="s">
        <v>115</v>
      </c>
      <c r="B25" s="31">
        <v>1</v>
      </c>
      <c r="C25" s="31" t="s">
        <v>61</v>
      </c>
      <c r="D25" s="31" t="s">
        <v>60</v>
      </c>
      <c r="E25" s="31" t="s">
        <v>323</v>
      </c>
      <c r="F25" s="31" t="s">
        <v>62</v>
      </c>
      <c r="G25" s="31" t="s">
        <v>63</v>
      </c>
      <c r="H25" s="31" t="s">
        <v>94</v>
      </c>
      <c r="I25" s="31">
        <v>0</v>
      </c>
      <c r="J25" s="31" t="s">
        <v>74</v>
      </c>
      <c r="K25" s="31">
        <v>6.81</v>
      </c>
      <c r="L25" s="31">
        <v>0</v>
      </c>
      <c r="M25" s="31">
        <v>0</v>
      </c>
      <c r="N25" s="31">
        <v>0</v>
      </c>
      <c r="O25" s="31" t="s">
        <v>327</v>
      </c>
      <c r="P25" s="31">
        <v>1.23</v>
      </c>
      <c r="Q25" s="31">
        <v>1</v>
      </c>
      <c r="R25" s="31">
        <v>1</v>
      </c>
      <c r="S25" s="31">
        <v>0.24</v>
      </c>
      <c r="T25" s="31">
        <v>1</v>
      </c>
      <c r="U25" s="31">
        <v>1</v>
      </c>
      <c r="V25" s="31"/>
      <c r="W25" s="31">
        <v>0</v>
      </c>
      <c r="X25" s="31">
        <v>8</v>
      </c>
      <c r="AA25" t="str">
        <f>FinalMelting[[#This Row],[FMPT_0]]&amp;"/"&amp;FinalMelting[[#This Row],[FMPT_1]]&amp;"/"&amp;FinalMelting[[#This Row],[FMPT_2]]&amp;"/"&amp;FinalMelting[[#This Row],[FMPT_3]]</f>
        <v>6,81/0/0/0</v>
      </c>
      <c r="AB25" t="str">
        <f>IF(FinalMelting[[#This Row],[MAES]]&lt;=MAES02_max,"Соотв.","Не соотв.")</f>
        <v>Соотв.</v>
      </c>
      <c r="AC25" t="str">
        <f>IF(FinalMelting[[#This Row],[MASS]],"Симмертично","Не симметрично")</f>
        <v>Симмертично</v>
      </c>
      <c r="AD25" t="str">
        <f t="shared" si="3"/>
        <v>Соотв.</v>
      </c>
      <c r="AE25" t="str">
        <f>IF(FinalMelting[[#This Row],[MAHS]],"Заплавлено","Не заплавлено")</f>
        <v>Заплавлено</v>
      </c>
      <c r="AF25" t="str">
        <f t="shared" si="1"/>
        <v>Соотв.</v>
      </c>
      <c r="AG25">
        <f>COUNTIF(FinalMelting[[#This Row],[FMPT_0]:[FMPT_3]],"&gt;0")-1</f>
        <v>0</v>
      </c>
      <c r="AH25" t="str">
        <f t="shared" si="2"/>
        <v>Соотв.</v>
      </c>
      <c r="AI25" t="str">
        <f>IF(FinalMelting[[#This Row],[CICS]]=1,DirtyAbsent,DitryExists)</f>
        <v>Загрязнение отсутствует</v>
      </c>
      <c r="AJ25" t="str">
        <f t="shared" si="0"/>
        <v>Соотв.</v>
      </c>
      <c r="AK25" t="str">
        <f>IF(FinalMelting[[#This Row],[MAWT]]&gt;wall_th_min_02, ComplyTxt, NonComplyTxt)</f>
        <v>Соотв.</v>
      </c>
    </row>
    <row r="26" spans="1:37" x14ac:dyDescent="0.25">
      <c r="A26" s="31" t="s">
        <v>117</v>
      </c>
      <c r="B26" s="31">
        <v>1</v>
      </c>
      <c r="C26" s="31" t="s">
        <v>61</v>
      </c>
      <c r="D26" s="31" t="s">
        <v>60</v>
      </c>
      <c r="E26" s="31" t="s">
        <v>323</v>
      </c>
      <c r="F26" s="31" t="s">
        <v>62</v>
      </c>
      <c r="G26" s="31" t="s">
        <v>63</v>
      </c>
      <c r="H26" s="31" t="s">
        <v>94</v>
      </c>
      <c r="I26" s="31">
        <v>0</v>
      </c>
      <c r="J26" s="31" t="s">
        <v>74</v>
      </c>
      <c r="K26" s="31">
        <v>6.12</v>
      </c>
      <c r="L26" s="31">
        <v>0</v>
      </c>
      <c r="M26" s="31">
        <v>0</v>
      </c>
      <c r="N26" s="31">
        <v>0</v>
      </c>
      <c r="O26" s="31" t="s">
        <v>327</v>
      </c>
      <c r="P26" s="31">
        <v>1.23</v>
      </c>
      <c r="Q26" s="31">
        <v>1</v>
      </c>
      <c r="R26" s="31">
        <v>1</v>
      </c>
      <c r="S26" s="31">
        <v>0.27</v>
      </c>
      <c r="T26" s="31">
        <v>1</v>
      </c>
      <c r="U26" s="31">
        <v>1</v>
      </c>
      <c r="V26" s="31"/>
      <c r="W26" s="31">
        <v>0</v>
      </c>
      <c r="X26" s="31">
        <v>9</v>
      </c>
      <c r="AA26" t="str">
        <f>FinalMelting[[#This Row],[FMPT_0]]&amp;"/"&amp;FinalMelting[[#This Row],[FMPT_1]]&amp;"/"&amp;FinalMelting[[#This Row],[FMPT_2]]&amp;"/"&amp;FinalMelting[[#This Row],[FMPT_3]]</f>
        <v>6,12/0/0/0</v>
      </c>
      <c r="AB26" t="str">
        <f>IF(FinalMelting[[#This Row],[MAES]]&lt;=MAES02_max,"Соотв.","Не соотв.")</f>
        <v>Соотв.</v>
      </c>
      <c r="AC26" t="str">
        <f>IF(FinalMelting[[#This Row],[MASS]],"Симмертично","Не симметрично")</f>
        <v>Симмертично</v>
      </c>
      <c r="AD26" t="str">
        <f t="shared" si="3"/>
        <v>Соотв.</v>
      </c>
      <c r="AE26" t="str">
        <f>IF(FinalMelting[[#This Row],[MAHS]],"Заплавлено","Не заплавлено")</f>
        <v>Заплавлено</v>
      </c>
      <c r="AF26" t="str">
        <f t="shared" si="1"/>
        <v>Соотв.</v>
      </c>
      <c r="AG26">
        <f>COUNTIF(FinalMelting[[#This Row],[FMPT_0]:[FMPT_3]],"&gt;0")-1</f>
        <v>0</v>
      </c>
      <c r="AH26" t="str">
        <f t="shared" si="2"/>
        <v>Соотв.</v>
      </c>
      <c r="AI26" t="str">
        <f>IF(FinalMelting[[#This Row],[CICS]]=1,DirtyAbsent,DitryExists)</f>
        <v>Загрязнение отсутствует</v>
      </c>
      <c r="AJ26" t="str">
        <f t="shared" si="0"/>
        <v>Соотв.</v>
      </c>
      <c r="AK26" t="str">
        <f>IF(FinalMelting[[#This Row],[MAWT]]&gt;wall_th_min_02, ComplyTxt, NonComplyTxt)</f>
        <v>Соотв.</v>
      </c>
    </row>
    <row r="27" spans="1:37" x14ac:dyDescent="0.25">
      <c r="A27" s="31" t="s">
        <v>120</v>
      </c>
      <c r="B27" s="31">
        <v>1</v>
      </c>
      <c r="C27" s="31" t="s">
        <v>61</v>
      </c>
      <c r="D27" s="31" t="s">
        <v>60</v>
      </c>
      <c r="E27" s="31" t="s">
        <v>323</v>
      </c>
      <c r="F27" s="31" t="s">
        <v>62</v>
      </c>
      <c r="G27" s="31" t="s">
        <v>73</v>
      </c>
      <c r="H27" s="31" t="s">
        <v>94</v>
      </c>
      <c r="I27" s="31">
        <v>0</v>
      </c>
      <c r="J27" s="31" t="s">
        <v>65</v>
      </c>
      <c r="K27" s="31">
        <v>6.18</v>
      </c>
      <c r="L27" s="31">
        <v>0</v>
      </c>
      <c r="M27" s="31">
        <v>0</v>
      </c>
      <c r="N27" s="31">
        <v>0</v>
      </c>
      <c r="O27" s="31" t="s">
        <v>327</v>
      </c>
      <c r="P27" s="31">
        <v>1.45</v>
      </c>
      <c r="Q27" s="31">
        <v>1</v>
      </c>
      <c r="R27" s="31">
        <v>1</v>
      </c>
      <c r="S27" s="31">
        <v>0.33</v>
      </c>
      <c r="T27" s="31">
        <v>1</v>
      </c>
      <c r="U27" s="31">
        <v>1</v>
      </c>
      <c r="V27" s="31"/>
      <c r="W27" s="31">
        <v>0</v>
      </c>
      <c r="X27" s="31">
        <v>10</v>
      </c>
      <c r="AA27" t="str">
        <f>FinalMelting[[#This Row],[FMPT_0]]&amp;"/"&amp;FinalMelting[[#This Row],[FMPT_1]]&amp;"/"&amp;FinalMelting[[#This Row],[FMPT_2]]&amp;"/"&amp;FinalMelting[[#This Row],[FMPT_3]]</f>
        <v>6,18/0/0/0</v>
      </c>
      <c r="AB27" t="str">
        <f>IF(FinalMelting[[#This Row],[MAES]]&lt;=MAES03_max,"Соотв.","Не соотв.")</f>
        <v>Соотв.</v>
      </c>
      <c r="AC27" t="str">
        <f>IF(FinalMelting[[#This Row],[MASS]],"Симмертично","Не симметрично")</f>
        <v>Симмертично</v>
      </c>
      <c r="AD27" t="str">
        <f t="shared" si="3"/>
        <v>Соотв.</v>
      </c>
      <c r="AE27" t="str">
        <f>IF(FinalMelting[[#This Row],[MAHS]],"Заплавлено","Не заплавлено")</f>
        <v>Заплавлено</v>
      </c>
      <c r="AF27" t="str">
        <f t="shared" si="1"/>
        <v>Соотв.</v>
      </c>
      <c r="AG27">
        <f>COUNTIF(FinalMelting[[#This Row],[FMPT_0]:[FMPT_3]],"&gt;0")-1</f>
        <v>0</v>
      </c>
      <c r="AH27" t="str">
        <f t="shared" si="2"/>
        <v>Соотв.</v>
      </c>
      <c r="AI27" t="str">
        <f>IF(FinalMelting[[#This Row],[CICS]]=1,DirtyAbsent,DitryExists)</f>
        <v>Загрязнение отсутствует</v>
      </c>
      <c r="AJ27" t="str">
        <f t="shared" si="0"/>
        <v>Соотв.</v>
      </c>
      <c r="AK27" t="str">
        <f>IF(FinalMelting[[#This Row],[MAWT]]&gt;wall_th_min_03, ComplyTxt, NonComplyTxt)</f>
        <v>Соотв.</v>
      </c>
    </row>
    <row r="28" spans="1:37" x14ac:dyDescent="0.25">
      <c r="A28" s="31" t="s">
        <v>122</v>
      </c>
      <c r="B28" s="31">
        <v>1</v>
      </c>
      <c r="C28" s="31" t="s">
        <v>61</v>
      </c>
      <c r="D28" s="31" t="s">
        <v>60</v>
      </c>
      <c r="E28" s="31" t="s">
        <v>323</v>
      </c>
      <c r="F28" s="31" t="s">
        <v>62</v>
      </c>
      <c r="G28" s="31" t="s">
        <v>73</v>
      </c>
      <c r="H28" s="31" t="s">
        <v>94</v>
      </c>
      <c r="I28" s="31">
        <v>0</v>
      </c>
      <c r="J28" s="31" t="s">
        <v>65</v>
      </c>
      <c r="K28" s="31">
        <v>6.19</v>
      </c>
      <c r="L28" s="31">
        <v>0</v>
      </c>
      <c r="M28" s="31">
        <v>0</v>
      </c>
      <c r="N28" s="31">
        <v>0</v>
      </c>
      <c r="O28" s="31" t="s">
        <v>327</v>
      </c>
      <c r="P28" s="31">
        <v>1.4</v>
      </c>
      <c r="Q28" s="31">
        <v>1</v>
      </c>
      <c r="R28" s="31">
        <v>1</v>
      </c>
      <c r="S28" s="31">
        <v>0.26</v>
      </c>
      <c r="T28" s="31">
        <v>1</v>
      </c>
      <c r="U28" s="31">
        <v>1</v>
      </c>
      <c r="V28" s="31"/>
      <c r="W28" s="31">
        <v>0</v>
      </c>
      <c r="X28" s="31">
        <v>10</v>
      </c>
      <c r="AA28" t="str">
        <f>FinalMelting[[#This Row],[FMPT_0]]&amp;"/"&amp;FinalMelting[[#This Row],[FMPT_1]]&amp;"/"&amp;FinalMelting[[#This Row],[FMPT_2]]&amp;"/"&amp;FinalMelting[[#This Row],[FMPT_3]]</f>
        <v>6,19/0/0/0</v>
      </c>
      <c r="AB28" t="str">
        <f>IF(FinalMelting[[#This Row],[MAES]]&lt;=MAES03_max,"Соотв.","Не соотв.")</f>
        <v>Соотв.</v>
      </c>
      <c r="AC28" t="str">
        <f>IF(FinalMelting[[#This Row],[MASS]],"Симмертично","Не симметрично")</f>
        <v>Симмертично</v>
      </c>
      <c r="AD28" t="str">
        <f t="shared" si="3"/>
        <v>Соотв.</v>
      </c>
      <c r="AE28" t="str">
        <f>IF(FinalMelting[[#This Row],[MAHS]],"Заплавлено","Не заплавлено")</f>
        <v>Заплавлено</v>
      </c>
      <c r="AF28" t="str">
        <f t="shared" si="1"/>
        <v>Соотв.</v>
      </c>
      <c r="AG28">
        <f>COUNTIF(FinalMelting[[#This Row],[FMPT_0]:[FMPT_3]],"&gt;0")-1</f>
        <v>0</v>
      </c>
      <c r="AH28" t="str">
        <f t="shared" si="2"/>
        <v>Соотв.</v>
      </c>
      <c r="AI28" t="str">
        <f>IF(FinalMelting[[#This Row],[CICS]]=1,DirtyAbsent,DitryExists)</f>
        <v>Загрязнение отсутствует</v>
      </c>
      <c r="AJ28" t="str">
        <f t="shared" si="0"/>
        <v>Соотв.</v>
      </c>
      <c r="AK28" t="str">
        <f>IF(FinalMelting[[#This Row],[MAWT]]&gt;wall_th_min_03, ComplyTxt, NonComplyTxt)</f>
        <v>Соотв.</v>
      </c>
    </row>
    <row r="29" spans="1:37" x14ac:dyDescent="0.25">
      <c r="A29" s="31" t="s">
        <v>124</v>
      </c>
      <c r="B29" s="31">
        <v>1</v>
      </c>
      <c r="C29" s="31" t="s">
        <v>61</v>
      </c>
      <c r="D29" s="31" t="s">
        <v>60</v>
      </c>
      <c r="E29" s="31" t="s">
        <v>323</v>
      </c>
      <c r="F29" s="31" t="s">
        <v>62</v>
      </c>
      <c r="G29" s="31" t="s">
        <v>73</v>
      </c>
      <c r="H29" s="31" t="s">
        <v>94</v>
      </c>
      <c r="I29" s="31">
        <v>0</v>
      </c>
      <c r="J29" s="31" t="s">
        <v>65</v>
      </c>
      <c r="K29" s="31">
        <v>5.71</v>
      </c>
      <c r="L29" s="31">
        <v>0</v>
      </c>
      <c r="M29" s="31">
        <v>0</v>
      </c>
      <c r="N29" s="31">
        <v>0</v>
      </c>
      <c r="O29" s="31" t="s">
        <v>327</v>
      </c>
      <c r="P29" s="31">
        <v>1.44</v>
      </c>
      <c r="Q29" s="31">
        <v>0</v>
      </c>
      <c r="R29" s="31">
        <v>0</v>
      </c>
      <c r="S29" s="31">
        <v>-1</v>
      </c>
      <c r="T29" s="31">
        <v>1</v>
      </c>
      <c r="U29" s="31">
        <v>0</v>
      </c>
      <c r="V29" s="31"/>
      <c r="W29" s="31">
        <v>0</v>
      </c>
      <c r="X29" s="31">
        <v>1</v>
      </c>
      <c r="AA29" t="str">
        <f>FinalMelting[[#This Row],[FMPT_0]]&amp;"/"&amp;FinalMelting[[#This Row],[FMPT_1]]&amp;"/"&amp;FinalMelting[[#This Row],[FMPT_2]]&amp;"/"&amp;FinalMelting[[#This Row],[FMPT_3]]</f>
        <v>5,71/0/0/0</v>
      </c>
      <c r="AB29" t="str">
        <f>IF(FinalMelting[[#This Row],[MAES]]&lt;=MAES03_max,"Соотв.","Не соотв.")</f>
        <v>Соотв.</v>
      </c>
      <c r="AC29" t="str">
        <f>IF(FinalMelting[[#This Row],[MASS]],"Симмертично","Не симметрично")</f>
        <v>Не симметрично</v>
      </c>
      <c r="AD29" t="str">
        <f t="shared" si="3"/>
        <v>Не соотв.</v>
      </c>
      <c r="AE29" t="str">
        <f>IF(FinalMelting[[#This Row],[MAHS]],"Заплавлено","Не заплавлено")</f>
        <v>Не заплавлено</v>
      </c>
      <c r="AF29" t="str">
        <f t="shared" si="1"/>
        <v>Не соотв.</v>
      </c>
      <c r="AG29">
        <f>COUNTIF(FinalMelting[[#This Row],[FMPT_0]:[FMPT_3]],"&gt;0")-1</f>
        <v>0</v>
      </c>
      <c r="AH29" t="str">
        <f t="shared" si="2"/>
        <v>Соотв.</v>
      </c>
      <c r="AI29" t="str">
        <f>IF(FinalMelting[[#This Row],[CICS]]=1,DirtyAbsent,DitryExists)</f>
        <v>Загрязнение отсутствует</v>
      </c>
      <c r="AJ29" t="str">
        <f t="shared" si="0"/>
        <v>Соотв.</v>
      </c>
      <c r="AK29" t="str">
        <f>IF(FinalMelting[[#This Row],[MAWT]]&gt;wall_th_min_03, ComplyTxt, NonComplyTxt)</f>
        <v>Не соотв.</v>
      </c>
    </row>
    <row r="30" spans="1:37" x14ac:dyDescent="0.25">
      <c r="A30" s="31" t="s">
        <v>126</v>
      </c>
      <c r="B30" s="31">
        <v>1</v>
      </c>
      <c r="C30" s="31" t="s">
        <v>61</v>
      </c>
      <c r="D30" s="31" t="s">
        <v>60</v>
      </c>
      <c r="E30" s="31" t="s">
        <v>324</v>
      </c>
      <c r="F30" s="31" t="s">
        <v>81</v>
      </c>
      <c r="G30" s="31" t="s">
        <v>63</v>
      </c>
      <c r="H30" s="31" t="s">
        <v>94</v>
      </c>
      <c r="I30" s="31">
        <v>0</v>
      </c>
      <c r="J30" s="31" t="s">
        <v>65</v>
      </c>
      <c r="K30" s="31">
        <v>5.92</v>
      </c>
      <c r="L30" s="31">
        <v>0</v>
      </c>
      <c r="M30" s="31">
        <v>0</v>
      </c>
      <c r="N30" s="31">
        <v>0</v>
      </c>
      <c r="O30" s="31" t="s">
        <v>327</v>
      </c>
      <c r="P30" s="31">
        <v>1.4</v>
      </c>
      <c r="Q30" s="31">
        <v>1</v>
      </c>
      <c r="R30" s="31">
        <v>1</v>
      </c>
      <c r="S30" s="31">
        <v>0.31</v>
      </c>
      <c r="T30" s="31">
        <v>1</v>
      </c>
      <c r="U30" s="31">
        <v>1</v>
      </c>
      <c r="V30" s="31"/>
      <c r="W30" s="31">
        <v>0</v>
      </c>
      <c r="X30" s="31">
        <v>8</v>
      </c>
      <c r="AA30" t="str">
        <f>FinalMelting[[#This Row],[FMPT_0]]&amp;"/"&amp;FinalMelting[[#This Row],[FMPT_1]]&amp;"/"&amp;FinalMelting[[#This Row],[FMPT_2]]&amp;"/"&amp;FinalMelting[[#This Row],[FMPT_3]]</f>
        <v>5,92/0/0/0</v>
      </c>
      <c r="AB30" t="str">
        <f>IF(FinalMelting[[#This Row],[MAES]]&lt;=MAES03_max,"Соотв.","Не соотв.")</f>
        <v>Соотв.</v>
      </c>
      <c r="AC30" t="str">
        <f>IF(FinalMelting[[#This Row],[MASS]],"Симмертично","Не симметрично")</f>
        <v>Симмертично</v>
      </c>
      <c r="AD30" t="str">
        <f t="shared" si="3"/>
        <v>Соотв.</v>
      </c>
      <c r="AE30" t="str">
        <f>IF(FinalMelting[[#This Row],[MAHS]],"Заплавлено","Не заплавлено")</f>
        <v>Заплавлено</v>
      </c>
      <c r="AF30" t="str">
        <f t="shared" si="1"/>
        <v>Соотв.</v>
      </c>
      <c r="AG30">
        <f>COUNTIF(FinalMelting[[#This Row],[FMPT_0]:[FMPT_3]],"&gt;0")-1</f>
        <v>0</v>
      </c>
      <c r="AH30" t="str">
        <f t="shared" si="2"/>
        <v>Соотв.</v>
      </c>
      <c r="AI30" t="str">
        <f>IF(FinalMelting[[#This Row],[CICS]]=1,DirtyAbsent,DitryExists)</f>
        <v>Загрязнение отсутствует</v>
      </c>
      <c r="AJ30" t="str">
        <f t="shared" si="0"/>
        <v>Соотв.</v>
      </c>
      <c r="AK30" t="str">
        <f>IF(FinalMelting[[#This Row],[MAWT]]&gt;wall_th_min_03, ComplyTxt, NonComplyTxt)</f>
        <v>Соотв.</v>
      </c>
    </row>
    <row r="31" spans="1:37" x14ac:dyDescent="0.25">
      <c r="A31" s="31" t="s">
        <v>128</v>
      </c>
      <c r="B31" s="31">
        <v>1</v>
      </c>
      <c r="C31" s="31" t="s">
        <v>61</v>
      </c>
      <c r="D31" s="31" t="s">
        <v>60</v>
      </c>
      <c r="E31" s="31" t="s">
        <v>324</v>
      </c>
      <c r="F31" s="31" t="s">
        <v>81</v>
      </c>
      <c r="G31" s="31" t="s">
        <v>63</v>
      </c>
      <c r="H31" s="31" t="s">
        <v>94</v>
      </c>
      <c r="I31" s="31">
        <v>0</v>
      </c>
      <c r="J31" s="31" t="s">
        <v>65</v>
      </c>
      <c r="K31" s="31">
        <v>7.19</v>
      </c>
      <c r="L31" s="31">
        <v>0</v>
      </c>
      <c r="M31" s="31">
        <v>0</v>
      </c>
      <c r="N31" s="31">
        <v>0</v>
      </c>
      <c r="O31" s="31" t="s">
        <v>327</v>
      </c>
      <c r="P31" s="31">
        <v>1.37</v>
      </c>
      <c r="Q31" s="31">
        <v>1</v>
      </c>
      <c r="R31" s="31">
        <v>1</v>
      </c>
      <c r="S31" s="31">
        <v>0.27</v>
      </c>
      <c r="T31" s="31">
        <v>1</v>
      </c>
      <c r="U31" s="31">
        <v>1</v>
      </c>
      <c r="V31" s="31"/>
      <c r="W31" s="31">
        <v>0</v>
      </c>
      <c r="X31" s="31">
        <v>7</v>
      </c>
      <c r="AA31" t="str">
        <f>FinalMelting[[#This Row],[FMPT_0]]&amp;"/"&amp;FinalMelting[[#This Row],[FMPT_1]]&amp;"/"&amp;FinalMelting[[#This Row],[FMPT_2]]&amp;"/"&amp;FinalMelting[[#This Row],[FMPT_3]]</f>
        <v>7,19/0/0/0</v>
      </c>
      <c r="AB31" t="str">
        <f>IF(FinalMelting[[#This Row],[MAES]]&lt;=MAES03_max,"Соотв.","Не соотв.")</f>
        <v>Соотв.</v>
      </c>
      <c r="AC31" t="str">
        <f>IF(FinalMelting[[#This Row],[MASS]],"Симмертично","Не симметрично")</f>
        <v>Симмертично</v>
      </c>
      <c r="AD31" t="str">
        <f t="shared" si="3"/>
        <v>Соотв.</v>
      </c>
      <c r="AE31" t="str">
        <f>IF(FinalMelting[[#This Row],[MAHS]],"Заплавлено","Не заплавлено")</f>
        <v>Заплавлено</v>
      </c>
      <c r="AF31" t="str">
        <f t="shared" si="1"/>
        <v>Соотв.</v>
      </c>
      <c r="AG31">
        <f>COUNTIF(FinalMelting[[#This Row],[FMPT_0]:[FMPT_3]],"&gt;0")-1</f>
        <v>0</v>
      </c>
      <c r="AH31" t="str">
        <f t="shared" si="2"/>
        <v>Соотв.</v>
      </c>
      <c r="AI31" t="str">
        <f>IF(FinalMelting[[#This Row],[CICS]]=1,DirtyAbsent,DitryExists)</f>
        <v>Загрязнение отсутствует</v>
      </c>
      <c r="AJ31" t="str">
        <f t="shared" si="0"/>
        <v>Соотв.</v>
      </c>
      <c r="AK31" t="str">
        <f>IF(FinalMelting[[#This Row],[MAWT]]&gt;wall_th_min_03, ComplyTxt, NonComplyTxt)</f>
        <v>Соотв.</v>
      </c>
    </row>
    <row r="32" spans="1:37" x14ac:dyDescent="0.25">
      <c r="A32" s="31" t="s">
        <v>130</v>
      </c>
      <c r="B32" s="31">
        <v>1</v>
      </c>
      <c r="C32" s="31" t="s">
        <v>61</v>
      </c>
      <c r="D32" s="31" t="s">
        <v>60</v>
      </c>
      <c r="E32" s="31" t="s">
        <v>324</v>
      </c>
      <c r="F32" s="31" t="s">
        <v>81</v>
      </c>
      <c r="G32" s="31" t="s">
        <v>63</v>
      </c>
      <c r="H32" s="31" t="s">
        <v>94</v>
      </c>
      <c r="I32" s="31">
        <v>0</v>
      </c>
      <c r="J32" s="31" t="s">
        <v>65</v>
      </c>
      <c r="K32" s="31">
        <v>5.65</v>
      </c>
      <c r="L32" s="31">
        <v>0</v>
      </c>
      <c r="M32" s="31">
        <v>0</v>
      </c>
      <c r="N32" s="31">
        <v>0</v>
      </c>
      <c r="O32" s="31" t="s">
        <v>327</v>
      </c>
      <c r="P32" s="31">
        <v>1.41</v>
      </c>
      <c r="Q32" s="31">
        <v>1</v>
      </c>
      <c r="R32" s="31">
        <v>1</v>
      </c>
      <c r="S32" s="31">
        <v>0.32</v>
      </c>
      <c r="T32" s="31">
        <v>1</v>
      </c>
      <c r="U32" s="31">
        <v>1</v>
      </c>
      <c r="V32" s="31"/>
      <c r="W32" s="31">
        <v>0</v>
      </c>
      <c r="X32" s="31">
        <v>9</v>
      </c>
      <c r="AA32" t="str">
        <f>FinalMelting[[#This Row],[FMPT_0]]&amp;"/"&amp;FinalMelting[[#This Row],[FMPT_1]]&amp;"/"&amp;FinalMelting[[#This Row],[FMPT_2]]&amp;"/"&amp;FinalMelting[[#This Row],[FMPT_3]]</f>
        <v>5,65/0/0/0</v>
      </c>
      <c r="AB32" t="str">
        <f>IF(FinalMelting[[#This Row],[MAES]]&lt;=MAES03_max,"Соотв.","Не соотв.")</f>
        <v>Соотв.</v>
      </c>
      <c r="AC32" t="str">
        <f>IF(FinalMelting[[#This Row],[MASS]],"Симмертично","Не симметрично")</f>
        <v>Симмертично</v>
      </c>
      <c r="AD32" t="str">
        <f t="shared" si="3"/>
        <v>Соотв.</v>
      </c>
      <c r="AE32" t="str">
        <f>IF(FinalMelting[[#This Row],[MAHS]],"Заплавлено","Не заплавлено")</f>
        <v>Заплавлено</v>
      </c>
      <c r="AF32" t="str">
        <f t="shared" si="1"/>
        <v>Соотв.</v>
      </c>
      <c r="AG32">
        <f>COUNTIF(FinalMelting[[#This Row],[FMPT_0]:[FMPT_3]],"&gt;0")-1</f>
        <v>0</v>
      </c>
      <c r="AH32" t="str">
        <f t="shared" si="2"/>
        <v>Соотв.</v>
      </c>
      <c r="AI32" t="str">
        <f>IF(FinalMelting[[#This Row],[CICS]]=1,DirtyAbsent,DitryExists)</f>
        <v>Загрязнение отсутствует</v>
      </c>
      <c r="AJ32" t="str">
        <f t="shared" si="0"/>
        <v>Соотв.</v>
      </c>
      <c r="AK32" t="str">
        <f>IF(FinalMelting[[#This Row],[MAWT]]&gt;wall_th_min_03, ComplyTxt, NonComplyTxt)</f>
        <v>Соотв.</v>
      </c>
    </row>
    <row r="33" spans="1:37" x14ac:dyDescent="0.25">
      <c r="A33" s="31" t="s">
        <v>132</v>
      </c>
      <c r="B33" s="31">
        <v>1</v>
      </c>
      <c r="C33" s="31" t="s">
        <v>61</v>
      </c>
      <c r="D33" s="31" t="s">
        <v>60</v>
      </c>
      <c r="E33" s="31" t="s">
        <v>324</v>
      </c>
      <c r="F33" s="31" t="s">
        <v>62</v>
      </c>
      <c r="G33" s="31" t="s">
        <v>73</v>
      </c>
      <c r="H33" s="31" t="s">
        <v>64</v>
      </c>
      <c r="I33" s="31">
        <v>0</v>
      </c>
      <c r="J33" s="31" t="s">
        <v>74</v>
      </c>
      <c r="K33" s="31">
        <v>6.69</v>
      </c>
      <c r="L33" s="31">
        <v>0</v>
      </c>
      <c r="M33" s="31">
        <v>0</v>
      </c>
      <c r="N33" s="31">
        <v>0</v>
      </c>
      <c r="O33" s="31" t="s">
        <v>327</v>
      </c>
      <c r="P33" s="31">
        <v>1.43</v>
      </c>
      <c r="Q33" s="31">
        <v>0</v>
      </c>
      <c r="R33" s="31">
        <v>1</v>
      </c>
      <c r="S33" s="31">
        <v>0.28999999999999998</v>
      </c>
      <c r="T33" s="31">
        <v>1</v>
      </c>
      <c r="U33" s="31">
        <v>1</v>
      </c>
      <c r="V33" s="31"/>
      <c r="W33" s="31">
        <v>0</v>
      </c>
      <c r="X33" s="31">
        <v>3</v>
      </c>
      <c r="AA33" t="str">
        <f>FinalMelting[[#This Row],[FMPT_0]]&amp;"/"&amp;FinalMelting[[#This Row],[FMPT_1]]&amp;"/"&amp;FinalMelting[[#This Row],[FMPT_2]]&amp;"/"&amp;FinalMelting[[#This Row],[FMPT_3]]</f>
        <v>6,69/0/0/0</v>
      </c>
      <c r="AB33" t="str">
        <f>IF(FinalMelting[[#This Row],[MAES]]&lt;=MAES03_max,"Соотв.","Не соотв.")</f>
        <v>Соотв.</v>
      </c>
      <c r="AC33" t="str">
        <f>IF(FinalMelting[[#This Row],[MASS]],"Симмертично","Не симметрично")</f>
        <v>Не симметрично</v>
      </c>
      <c r="AD33" t="str">
        <f t="shared" si="3"/>
        <v>Не соотв.</v>
      </c>
      <c r="AE33" t="str">
        <f>IF(FinalMelting[[#This Row],[MAHS]],"Заплавлено","Не заплавлено")</f>
        <v>Заплавлено</v>
      </c>
      <c r="AF33" t="str">
        <f t="shared" si="1"/>
        <v>Соотв.</v>
      </c>
      <c r="AG33">
        <f>COUNTIF(FinalMelting[[#This Row],[FMPT_0]:[FMPT_3]],"&gt;0")-1</f>
        <v>0</v>
      </c>
      <c r="AH33" t="str">
        <f t="shared" si="2"/>
        <v>Соотв.</v>
      </c>
      <c r="AI33" t="str">
        <f>IF(FinalMelting[[#This Row],[CICS]]=1,DirtyAbsent,DitryExists)</f>
        <v>Загрязнение отсутствует</v>
      </c>
      <c r="AJ33" t="str">
        <f t="shared" si="0"/>
        <v>Соотв.</v>
      </c>
      <c r="AK33" t="str">
        <f>IF(FinalMelting[[#This Row],[MAWT]]&gt;wall_th_min_03, ComplyTxt, NonComplyTxt)</f>
        <v>Соотв.</v>
      </c>
    </row>
    <row r="34" spans="1:37" x14ac:dyDescent="0.25">
      <c r="A34" s="31" t="s">
        <v>134</v>
      </c>
      <c r="B34" s="31">
        <v>1</v>
      </c>
      <c r="C34" s="31" t="s">
        <v>61</v>
      </c>
      <c r="D34" s="31" t="s">
        <v>60</v>
      </c>
      <c r="E34" s="31" t="s">
        <v>324</v>
      </c>
      <c r="F34" s="31" t="s">
        <v>62</v>
      </c>
      <c r="G34" s="31" t="s">
        <v>73</v>
      </c>
      <c r="H34" s="31" t="s">
        <v>64</v>
      </c>
      <c r="I34" s="31">
        <v>0</v>
      </c>
      <c r="J34" s="31" t="s">
        <v>74</v>
      </c>
      <c r="K34" s="31">
        <v>6.19</v>
      </c>
      <c r="L34" s="31">
        <v>0</v>
      </c>
      <c r="M34" s="31">
        <v>0</v>
      </c>
      <c r="N34" s="31">
        <v>0</v>
      </c>
      <c r="O34" s="31" t="s">
        <v>327</v>
      </c>
      <c r="P34" s="31">
        <v>1.42</v>
      </c>
      <c r="Q34" s="31">
        <v>1</v>
      </c>
      <c r="R34" s="31">
        <v>1</v>
      </c>
      <c r="S34" s="31">
        <v>0.31</v>
      </c>
      <c r="T34" s="31">
        <v>1</v>
      </c>
      <c r="U34" s="31">
        <v>1</v>
      </c>
      <c r="V34" s="31"/>
      <c r="W34" s="31">
        <v>0</v>
      </c>
      <c r="X34" s="31">
        <v>10</v>
      </c>
      <c r="AA34" t="str">
        <f>FinalMelting[[#This Row],[FMPT_0]]&amp;"/"&amp;FinalMelting[[#This Row],[FMPT_1]]&amp;"/"&amp;FinalMelting[[#This Row],[FMPT_2]]&amp;"/"&amp;FinalMelting[[#This Row],[FMPT_3]]</f>
        <v>6,19/0/0/0</v>
      </c>
      <c r="AB34" t="str">
        <f>IF(FinalMelting[[#This Row],[MAES]]&lt;=MAES03_max,"Соотв.","Не соотв.")</f>
        <v>Соотв.</v>
      </c>
      <c r="AC34" t="str">
        <f>IF(FinalMelting[[#This Row],[MASS]],"Симмертично","Не симметрично")</f>
        <v>Симмертично</v>
      </c>
      <c r="AD34" t="str">
        <f t="shared" si="3"/>
        <v>Соотв.</v>
      </c>
      <c r="AE34" t="str">
        <f>IF(FinalMelting[[#This Row],[MAHS]],"Заплавлено","Не заплавлено")</f>
        <v>Заплавлено</v>
      </c>
      <c r="AF34" t="str">
        <f t="shared" si="1"/>
        <v>Соотв.</v>
      </c>
      <c r="AG34">
        <f>COUNTIF(FinalMelting[[#This Row],[FMPT_0]:[FMPT_3]],"&gt;0")-1</f>
        <v>0</v>
      </c>
      <c r="AH34" t="str">
        <f t="shared" si="2"/>
        <v>Соотв.</v>
      </c>
      <c r="AI34" t="str">
        <f>IF(FinalMelting[[#This Row],[CICS]]=1,DirtyAbsent,DitryExists)</f>
        <v>Загрязнение отсутствует</v>
      </c>
      <c r="AJ34" t="str">
        <f t="shared" si="0"/>
        <v>Соотв.</v>
      </c>
      <c r="AK34" t="str">
        <f>IF(FinalMelting[[#This Row],[MAWT]]&gt;wall_th_min_03, ComplyTxt, NonComplyTxt)</f>
        <v>Соотв.</v>
      </c>
    </row>
    <row r="35" spans="1:37" x14ac:dyDescent="0.25">
      <c r="A35" s="31" t="s">
        <v>136</v>
      </c>
      <c r="B35" s="31">
        <v>1</v>
      </c>
      <c r="C35" s="31" t="s">
        <v>61</v>
      </c>
      <c r="D35" s="31" t="s">
        <v>60</v>
      </c>
      <c r="E35" s="31" t="s">
        <v>324</v>
      </c>
      <c r="F35" s="31" t="s">
        <v>62</v>
      </c>
      <c r="G35" s="31" t="s">
        <v>73</v>
      </c>
      <c r="H35" s="31" t="s">
        <v>64</v>
      </c>
      <c r="I35" s="31">
        <v>0</v>
      </c>
      <c r="J35" s="31" t="s">
        <v>74</v>
      </c>
      <c r="K35" s="31">
        <v>5.61</v>
      </c>
      <c r="L35" s="31">
        <v>0</v>
      </c>
      <c r="M35" s="31">
        <v>0</v>
      </c>
      <c r="N35" s="31">
        <v>0</v>
      </c>
      <c r="O35" s="31" t="s">
        <v>327</v>
      </c>
      <c r="P35" s="31">
        <v>1.41</v>
      </c>
      <c r="Q35" s="31">
        <v>1</v>
      </c>
      <c r="R35" s="31">
        <v>1</v>
      </c>
      <c r="S35" s="31">
        <v>0.28000000000000003</v>
      </c>
      <c r="T35" s="31">
        <v>1</v>
      </c>
      <c r="U35" s="31">
        <v>1</v>
      </c>
      <c r="V35" s="31"/>
      <c r="W35" s="31">
        <v>0</v>
      </c>
      <c r="X35" s="31">
        <v>10</v>
      </c>
      <c r="AA35" t="str">
        <f>FinalMelting[[#This Row],[FMPT_0]]&amp;"/"&amp;FinalMelting[[#This Row],[FMPT_1]]&amp;"/"&amp;FinalMelting[[#This Row],[FMPT_2]]&amp;"/"&amp;FinalMelting[[#This Row],[FMPT_3]]</f>
        <v>5,61/0/0/0</v>
      </c>
      <c r="AB35" t="str">
        <f>IF(FinalMelting[[#This Row],[MAES]]&lt;=MAES03_max,"Соотв.","Не соотв.")</f>
        <v>Соотв.</v>
      </c>
      <c r="AC35" t="str">
        <f>IF(FinalMelting[[#This Row],[MASS]],"Симмертично","Не симметрично")</f>
        <v>Симмертично</v>
      </c>
      <c r="AD35" t="str">
        <f t="shared" si="3"/>
        <v>Соотв.</v>
      </c>
      <c r="AE35" t="str">
        <f>IF(FinalMelting[[#This Row],[MAHS]],"Заплавлено","Не заплавлено")</f>
        <v>Заплавлено</v>
      </c>
      <c r="AF35" t="str">
        <f t="shared" si="1"/>
        <v>Соотв.</v>
      </c>
      <c r="AG35">
        <f>COUNTIF(FinalMelting[[#This Row],[FMPT_0]:[FMPT_3]],"&gt;0")-1</f>
        <v>0</v>
      </c>
      <c r="AH35" t="str">
        <f t="shared" si="2"/>
        <v>Соотв.</v>
      </c>
      <c r="AI35" t="str">
        <f>IF(FinalMelting[[#This Row],[CICS]]=1,DirtyAbsent,DitryExists)</f>
        <v>Загрязнение отсутствует</v>
      </c>
      <c r="AJ35" t="str">
        <f t="shared" si="0"/>
        <v>Соотв.</v>
      </c>
      <c r="AK35" t="str">
        <f>IF(FinalMelting[[#This Row],[MAWT]]&gt;wall_th_min_03, ComplyTxt, NonComplyTxt)</f>
        <v>Соотв.</v>
      </c>
    </row>
    <row r="36" spans="1:37" x14ac:dyDescent="0.25">
      <c r="A36" s="31" t="s">
        <v>138</v>
      </c>
      <c r="B36" s="31">
        <v>1</v>
      </c>
      <c r="C36" s="31" t="s">
        <v>61</v>
      </c>
      <c r="D36" s="31" t="s">
        <v>60</v>
      </c>
      <c r="E36" s="31" t="s">
        <v>324</v>
      </c>
      <c r="F36" s="31" t="s">
        <v>81</v>
      </c>
      <c r="G36" s="31" t="s">
        <v>73</v>
      </c>
      <c r="H36" s="31" t="s">
        <v>94</v>
      </c>
      <c r="I36" s="31">
        <v>0</v>
      </c>
      <c r="J36" s="31" t="s">
        <v>74</v>
      </c>
      <c r="K36" s="31">
        <v>5.54</v>
      </c>
      <c r="L36" s="31">
        <v>0</v>
      </c>
      <c r="M36" s="31">
        <v>0</v>
      </c>
      <c r="N36" s="31">
        <v>0</v>
      </c>
      <c r="O36" s="31" t="s">
        <v>327</v>
      </c>
      <c r="P36" s="31">
        <v>1.42</v>
      </c>
      <c r="Q36" s="31">
        <v>1</v>
      </c>
      <c r="R36" s="31">
        <v>1</v>
      </c>
      <c r="S36" s="31">
        <v>0.26</v>
      </c>
      <c r="T36" s="31">
        <v>1</v>
      </c>
      <c r="U36" s="31">
        <v>1</v>
      </c>
      <c r="V36" s="31"/>
      <c r="W36" s="31">
        <v>0</v>
      </c>
      <c r="X36" s="31">
        <v>10</v>
      </c>
      <c r="AA36" t="str">
        <f>FinalMelting[[#This Row],[FMPT_0]]&amp;"/"&amp;FinalMelting[[#This Row],[FMPT_1]]&amp;"/"&amp;FinalMelting[[#This Row],[FMPT_2]]&amp;"/"&amp;FinalMelting[[#This Row],[FMPT_3]]</f>
        <v>5,54/0/0/0</v>
      </c>
      <c r="AB36" t="str">
        <f>IF(FinalMelting[[#This Row],[MAES]]&lt;=MAES03_max,"Соотв.","Не соотв.")</f>
        <v>Соотв.</v>
      </c>
      <c r="AC36" t="str">
        <f>IF(FinalMelting[[#This Row],[MASS]],"Симмертично","Не симметрично")</f>
        <v>Симмертично</v>
      </c>
      <c r="AD36" t="str">
        <f t="shared" si="3"/>
        <v>Соотв.</v>
      </c>
      <c r="AE36" t="str">
        <f>IF(FinalMelting[[#This Row],[MAHS]],"Заплавлено","Не заплавлено")</f>
        <v>Заплавлено</v>
      </c>
      <c r="AF36" t="str">
        <f t="shared" si="1"/>
        <v>Соотв.</v>
      </c>
      <c r="AG36">
        <f>COUNTIF(FinalMelting[[#This Row],[FMPT_0]:[FMPT_3]],"&gt;0")-1</f>
        <v>0</v>
      </c>
      <c r="AH36" t="str">
        <f t="shared" si="2"/>
        <v>Соотв.</v>
      </c>
      <c r="AI36" t="str">
        <f>IF(FinalMelting[[#This Row],[CICS]]=1,DirtyAbsent,DitryExists)</f>
        <v>Загрязнение отсутствует</v>
      </c>
      <c r="AJ36" t="str">
        <f t="shared" si="0"/>
        <v>Соотв.</v>
      </c>
      <c r="AK36" t="str">
        <f>IF(FinalMelting[[#This Row],[MAWT]]&gt;wall_th_min_03, ComplyTxt, NonComplyTxt)</f>
        <v>Соотв.</v>
      </c>
    </row>
    <row r="37" spans="1:37" x14ac:dyDescent="0.25">
      <c r="A37" s="31" t="s">
        <v>140</v>
      </c>
      <c r="B37" s="31">
        <v>1</v>
      </c>
      <c r="C37" s="31" t="s">
        <v>61</v>
      </c>
      <c r="D37" s="31" t="s">
        <v>60</v>
      </c>
      <c r="E37" s="31" t="s">
        <v>324</v>
      </c>
      <c r="F37" s="31" t="s">
        <v>81</v>
      </c>
      <c r="G37" s="31" t="s">
        <v>73</v>
      </c>
      <c r="H37" s="31" t="s">
        <v>94</v>
      </c>
      <c r="I37" s="31">
        <v>0</v>
      </c>
      <c r="J37" s="31" t="s">
        <v>74</v>
      </c>
      <c r="K37" s="31">
        <v>5.75</v>
      </c>
      <c r="L37" s="31">
        <v>0</v>
      </c>
      <c r="M37" s="31">
        <v>0</v>
      </c>
      <c r="N37" s="31">
        <v>0</v>
      </c>
      <c r="O37" s="31" t="s">
        <v>327</v>
      </c>
      <c r="P37" s="31">
        <v>1.48</v>
      </c>
      <c r="Q37" s="31">
        <v>0</v>
      </c>
      <c r="R37" s="31">
        <v>1</v>
      </c>
      <c r="S37" s="31">
        <v>0.25</v>
      </c>
      <c r="T37" s="31">
        <v>1</v>
      </c>
      <c r="U37" s="31">
        <v>1</v>
      </c>
      <c r="V37" s="31"/>
      <c r="W37" s="31">
        <v>0</v>
      </c>
      <c r="X37" s="31">
        <v>2</v>
      </c>
      <c r="AA37" t="str">
        <f>FinalMelting[[#This Row],[FMPT_0]]&amp;"/"&amp;FinalMelting[[#This Row],[FMPT_1]]&amp;"/"&amp;FinalMelting[[#This Row],[FMPT_2]]&amp;"/"&amp;FinalMelting[[#This Row],[FMPT_3]]</f>
        <v>5,75/0/0/0</v>
      </c>
      <c r="AB37" t="str">
        <f>IF(FinalMelting[[#This Row],[MAES]]&lt;=MAES03_max,"Соотв.","Не соотв.")</f>
        <v>Не соотв.</v>
      </c>
      <c r="AC37" t="str">
        <f>IF(FinalMelting[[#This Row],[MASS]],"Симмертично","Не симметрично")</f>
        <v>Не симметрично</v>
      </c>
      <c r="AD37" t="str">
        <f t="shared" si="3"/>
        <v>Не соотв.</v>
      </c>
      <c r="AE37" t="str">
        <f>IF(FinalMelting[[#This Row],[MAHS]],"Заплавлено","Не заплавлено")</f>
        <v>Заплавлено</v>
      </c>
      <c r="AF37" t="str">
        <f t="shared" si="1"/>
        <v>Соотв.</v>
      </c>
      <c r="AG37">
        <f>COUNTIF(FinalMelting[[#This Row],[FMPT_0]:[FMPT_3]],"&gt;0")-1</f>
        <v>0</v>
      </c>
      <c r="AH37" t="str">
        <f t="shared" si="2"/>
        <v>Соотв.</v>
      </c>
      <c r="AI37" t="str">
        <f>IF(FinalMelting[[#This Row],[CICS]]=1,DirtyAbsent,DitryExists)</f>
        <v>Загрязнение отсутствует</v>
      </c>
      <c r="AJ37" t="str">
        <f t="shared" si="0"/>
        <v>Соотв.</v>
      </c>
      <c r="AK37" t="str">
        <f>IF(FinalMelting[[#This Row],[MAWT]]&gt;wall_th_min_03, ComplyTxt, NonComplyTxt)</f>
        <v>Соотв.</v>
      </c>
    </row>
    <row r="38" spans="1:37" x14ac:dyDescent="0.25">
      <c r="A38" s="31" t="s">
        <v>142</v>
      </c>
      <c r="B38" s="31">
        <v>1</v>
      </c>
      <c r="C38" s="31" t="s">
        <v>61</v>
      </c>
      <c r="D38" s="31" t="s">
        <v>60</v>
      </c>
      <c r="E38" s="31" t="s">
        <v>324</v>
      </c>
      <c r="F38" s="31" t="s">
        <v>81</v>
      </c>
      <c r="G38" s="31" t="s">
        <v>73</v>
      </c>
      <c r="H38" s="31" t="s">
        <v>94</v>
      </c>
      <c r="I38" s="31">
        <v>0</v>
      </c>
      <c r="J38" s="31" t="s">
        <v>74</v>
      </c>
      <c r="K38" s="31">
        <v>6.19</v>
      </c>
      <c r="L38" s="31">
        <v>0</v>
      </c>
      <c r="M38" s="31">
        <v>0</v>
      </c>
      <c r="N38" s="31">
        <v>0</v>
      </c>
      <c r="O38" s="31" t="s">
        <v>327</v>
      </c>
      <c r="P38" s="31">
        <v>1.38</v>
      </c>
      <c r="Q38" s="31">
        <v>1</v>
      </c>
      <c r="R38" s="31">
        <v>1</v>
      </c>
      <c r="S38" s="31">
        <v>0.26</v>
      </c>
      <c r="T38" s="31">
        <v>1</v>
      </c>
      <c r="U38" s="31">
        <v>1</v>
      </c>
      <c r="V38" s="31"/>
      <c r="W38" s="31">
        <v>0</v>
      </c>
      <c r="X38" s="31">
        <v>10</v>
      </c>
      <c r="AA38" t="str">
        <f>FinalMelting[[#This Row],[FMPT_0]]&amp;"/"&amp;FinalMelting[[#This Row],[FMPT_1]]&amp;"/"&amp;FinalMelting[[#This Row],[FMPT_2]]&amp;"/"&amp;FinalMelting[[#This Row],[FMPT_3]]</f>
        <v>6,19/0/0/0</v>
      </c>
      <c r="AB38" t="str">
        <f>IF(FinalMelting[[#This Row],[MAES]]&lt;=MAES03_max,"Соотв.","Не соотв.")</f>
        <v>Соотв.</v>
      </c>
      <c r="AC38" t="str">
        <f>IF(FinalMelting[[#This Row],[MASS]],"Симмертично","Не симметрично")</f>
        <v>Симмертично</v>
      </c>
      <c r="AD38" t="str">
        <f t="shared" si="3"/>
        <v>Соотв.</v>
      </c>
      <c r="AE38" t="str">
        <f>IF(FinalMelting[[#This Row],[MAHS]],"Заплавлено","Не заплавлено")</f>
        <v>Заплавлено</v>
      </c>
      <c r="AF38" t="str">
        <f t="shared" si="1"/>
        <v>Соотв.</v>
      </c>
      <c r="AG38">
        <f>COUNTIF(FinalMelting[[#This Row],[FMPT_0]:[FMPT_3]],"&gt;0")-1</f>
        <v>0</v>
      </c>
      <c r="AH38" t="str">
        <f t="shared" si="2"/>
        <v>Соотв.</v>
      </c>
      <c r="AI38" t="str">
        <f>IF(FinalMelting[[#This Row],[CICS]]=1,DirtyAbsent,DitryExists)</f>
        <v>Загрязнение отсутствует</v>
      </c>
      <c r="AJ38" t="str">
        <f t="shared" si="0"/>
        <v>Соотв.</v>
      </c>
      <c r="AK38" t="str">
        <f>IF(FinalMelting[[#This Row],[MAWT]]&gt;wall_th_min_03, ComplyTxt, NonComplyTxt)</f>
        <v>Соотв.</v>
      </c>
    </row>
    <row r="39" spans="1:37" x14ac:dyDescent="0.25">
      <c r="A39" s="31" t="s">
        <v>144</v>
      </c>
      <c r="B39" s="31">
        <v>1</v>
      </c>
      <c r="C39" s="31" t="s">
        <v>61</v>
      </c>
      <c r="D39" s="31" t="s">
        <v>60</v>
      </c>
      <c r="E39" s="31" t="s">
        <v>324</v>
      </c>
      <c r="F39" s="31" t="s">
        <v>62</v>
      </c>
      <c r="G39" s="31" t="s">
        <v>63</v>
      </c>
      <c r="H39" s="31" t="s">
        <v>64</v>
      </c>
      <c r="I39" s="31">
        <v>0</v>
      </c>
      <c r="J39" s="31" t="s">
        <v>65</v>
      </c>
      <c r="K39" s="31">
        <v>5.93</v>
      </c>
      <c r="L39" s="31">
        <v>0</v>
      </c>
      <c r="M39" s="31">
        <v>0</v>
      </c>
      <c r="N39" s="31">
        <v>0</v>
      </c>
      <c r="O39" s="31" t="s">
        <v>327</v>
      </c>
      <c r="P39" s="31">
        <v>1.41</v>
      </c>
      <c r="Q39" s="31">
        <v>1</v>
      </c>
      <c r="R39" s="31">
        <v>1</v>
      </c>
      <c r="S39" s="31">
        <v>0.22</v>
      </c>
      <c r="T39" s="31">
        <v>1</v>
      </c>
      <c r="U39" s="31">
        <v>1</v>
      </c>
      <c r="V39" s="31"/>
      <c r="W39" s="31">
        <v>0</v>
      </c>
      <c r="X39" s="31">
        <v>8</v>
      </c>
      <c r="AA39" t="str">
        <f>FinalMelting[[#This Row],[FMPT_0]]&amp;"/"&amp;FinalMelting[[#This Row],[FMPT_1]]&amp;"/"&amp;FinalMelting[[#This Row],[FMPT_2]]&amp;"/"&amp;FinalMelting[[#This Row],[FMPT_3]]</f>
        <v>5,93/0/0/0</v>
      </c>
      <c r="AB39" t="str">
        <f>IF(FinalMelting[[#This Row],[MAES]]&lt;=MAES03_max,"Соотв.","Не соотв.")</f>
        <v>Соотв.</v>
      </c>
      <c r="AC39" t="str">
        <f>IF(FinalMelting[[#This Row],[MASS]],"Симмертично","Не симметрично")</f>
        <v>Симмертично</v>
      </c>
      <c r="AD39" t="str">
        <f t="shared" si="3"/>
        <v>Соотв.</v>
      </c>
      <c r="AE39" t="str">
        <f>IF(FinalMelting[[#This Row],[MAHS]],"Заплавлено","Не заплавлено")</f>
        <v>Заплавлено</v>
      </c>
      <c r="AF39" t="str">
        <f t="shared" si="1"/>
        <v>Соотв.</v>
      </c>
      <c r="AG39">
        <f>COUNTIF(FinalMelting[[#This Row],[FMPT_0]:[FMPT_3]],"&gt;0")-1</f>
        <v>0</v>
      </c>
      <c r="AH39" t="str">
        <f t="shared" si="2"/>
        <v>Соотв.</v>
      </c>
      <c r="AI39" t="str">
        <f>IF(FinalMelting[[#This Row],[CICS]]=1,DirtyAbsent,DitryExists)</f>
        <v>Загрязнение отсутствует</v>
      </c>
      <c r="AJ39" t="str">
        <f t="shared" si="0"/>
        <v>Соотв.</v>
      </c>
      <c r="AK39" t="str">
        <f>IF(FinalMelting[[#This Row],[MAWT]]&gt;wall_th_min_03, ComplyTxt, NonComplyTxt)</f>
        <v>Соотв.</v>
      </c>
    </row>
    <row r="40" spans="1:37" x14ac:dyDescent="0.25">
      <c r="A40" s="31" t="s">
        <v>146</v>
      </c>
      <c r="B40" s="31">
        <v>1</v>
      </c>
      <c r="C40" s="31" t="s">
        <v>61</v>
      </c>
      <c r="D40" s="31" t="s">
        <v>60</v>
      </c>
      <c r="E40" s="31" t="s">
        <v>324</v>
      </c>
      <c r="F40" s="31" t="s">
        <v>62</v>
      </c>
      <c r="G40" s="31" t="s">
        <v>63</v>
      </c>
      <c r="H40" s="31" t="s">
        <v>64</v>
      </c>
      <c r="I40" s="31">
        <v>0</v>
      </c>
      <c r="J40" s="31" t="s">
        <v>65</v>
      </c>
      <c r="K40" s="31">
        <v>5.66</v>
      </c>
      <c r="L40" s="31">
        <v>0</v>
      </c>
      <c r="M40" s="31">
        <v>0</v>
      </c>
      <c r="N40" s="31">
        <v>0</v>
      </c>
      <c r="O40" s="31" t="s">
        <v>327</v>
      </c>
      <c r="P40" s="31">
        <v>1.38</v>
      </c>
      <c r="Q40" s="31">
        <v>1</v>
      </c>
      <c r="R40" s="31">
        <v>1</v>
      </c>
      <c r="S40" s="31">
        <v>0.27</v>
      </c>
      <c r="T40" s="31">
        <v>1</v>
      </c>
      <c r="U40" s="31">
        <v>1</v>
      </c>
      <c r="V40" s="31"/>
      <c r="W40" s="31">
        <v>0</v>
      </c>
      <c r="X40" s="31">
        <v>9</v>
      </c>
      <c r="AA40" t="str">
        <f>FinalMelting[[#This Row],[FMPT_0]]&amp;"/"&amp;FinalMelting[[#This Row],[FMPT_1]]&amp;"/"&amp;FinalMelting[[#This Row],[FMPT_2]]&amp;"/"&amp;FinalMelting[[#This Row],[FMPT_3]]</f>
        <v>5,66/0/0/0</v>
      </c>
      <c r="AB40" t="str">
        <f>IF(FinalMelting[[#This Row],[MAES]]&lt;=MAES03_max,"Соотв.","Не соотв.")</f>
        <v>Соотв.</v>
      </c>
      <c r="AC40" t="str">
        <f>IF(FinalMelting[[#This Row],[MASS]],"Симмертично","Не симметрично")</f>
        <v>Симмертично</v>
      </c>
      <c r="AD40" t="str">
        <f t="shared" si="3"/>
        <v>Соотв.</v>
      </c>
      <c r="AE40" t="str">
        <f>IF(FinalMelting[[#This Row],[MAHS]],"Заплавлено","Не заплавлено")</f>
        <v>Заплавлено</v>
      </c>
      <c r="AF40" t="str">
        <f t="shared" si="1"/>
        <v>Соотв.</v>
      </c>
      <c r="AG40">
        <f>COUNTIF(FinalMelting[[#This Row],[FMPT_0]:[FMPT_3]],"&gt;0")-1</f>
        <v>0</v>
      </c>
      <c r="AH40" t="str">
        <f t="shared" si="2"/>
        <v>Соотв.</v>
      </c>
      <c r="AI40" t="str">
        <f>IF(FinalMelting[[#This Row],[CICS]]=1,DirtyAbsent,DitryExists)</f>
        <v>Загрязнение отсутствует</v>
      </c>
      <c r="AJ40" t="str">
        <f t="shared" si="0"/>
        <v>Соотв.</v>
      </c>
      <c r="AK40" t="str">
        <f>IF(FinalMelting[[#This Row],[MAWT]]&gt;wall_th_min_03, ComplyTxt, NonComplyTxt)</f>
        <v>Соотв.</v>
      </c>
    </row>
    <row r="41" spans="1:37" x14ac:dyDescent="0.25">
      <c r="A41" s="31" t="s">
        <v>148</v>
      </c>
      <c r="B41" s="31">
        <v>1</v>
      </c>
      <c r="C41" s="31" t="s">
        <v>61</v>
      </c>
      <c r="D41" s="31" t="s">
        <v>60</v>
      </c>
      <c r="E41" s="31" t="s">
        <v>324</v>
      </c>
      <c r="F41" s="31" t="s">
        <v>62</v>
      </c>
      <c r="G41" s="31" t="s">
        <v>63</v>
      </c>
      <c r="H41" s="31" t="s">
        <v>64</v>
      </c>
      <c r="I41" s="31">
        <v>0</v>
      </c>
      <c r="J41" s="31" t="s">
        <v>65</v>
      </c>
      <c r="K41" s="31">
        <v>5.15</v>
      </c>
      <c r="L41" s="31">
        <v>0</v>
      </c>
      <c r="M41" s="31">
        <v>0</v>
      </c>
      <c r="N41" s="31">
        <v>0</v>
      </c>
      <c r="O41" s="31" t="s">
        <v>327</v>
      </c>
      <c r="P41" s="31">
        <v>1.4</v>
      </c>
      <c r="Q41" s="31">
        <v>1</v>
      </c>
      <c r="R41" s="31">
        <v>1</v>
      </c>
      <c r="S41" s="31">
        <v>0.28000000000000003</v>
      </c>
      <c r="T41" s="31">
        <v>1</v>
      </c>
      <c r="U41" s="31">
        <v>1</v>
      </c>
      <c r="V41" s="31"/>
      <c r="W41" s="31">
        <v>0</v>
      </c>
      <c r="X41" s="31">
        <v>10</v>
      </c>
      <c r="AA41" t="str">
        <f>FinalMelting[[#This Row],[FMPT_0]]&amp;"/"&amp;FinalMelting[[#This Row],[FMPT_1]]&amp;"/"&amp;FinalMelting[[#This Row],[FMPT_2]]&amp;"/"&amp;FinalMelting[[#This Row],[FMPT_3]]</f>
        <v>5,15/0/0/0</v>
      </c>
      <c r="AB41" t="str">
        <f>IF(FinalMelting[[#This Row],[MAES]]&lt;=MAES03_max,"Соотв.","Не соотв.")</f>
        <v>Соотв.</v>
      </c>
      <c r="AC41" t="str">
        <f>IF(FinalMelting[[#This Row],[MASS]],"Симмертично","Не симметрично")</f>
        <v>Симмертично</v>
      </c>
      <c r="AD41" t="str">
        <f t="shared" si="3"/>
        <v>Соотв.</v>
      </c>
      <c r="AE41" t="str">
        <f>IF(FinalMelting[[#This Row],[MAHS]],"Заплавлено","Не заплавлено")</f>
        <v>Заплавлено</v>
      </c>
      <c r="AF41" t="str">
        <f t="shared" si="1"/>
        <v>Соотв.</v>
      </c>
      <c r="AG41">
        <f>COUNTIF(FinalMelting[[#This Row],[FMPT_0]:[FMPT_3]],"&gt;0")-1</f>
        <v>0</v>
      </c>
      <c r="AH41" t="str">
        <f t="shared" si="2"/>
        <v>Соотв.</v>
      </c>
      <c r="AI41" t="str">
        <f>IF(FinalMelting[[#This Row],[CICS]]=1,DirtyAbsent,DitryExists)</f>
        <v>Загрязнение отсутствует</v>
      </c>
      <c r="AJ41" t="str">
        <f t="shared" si="0"/>
        <v>Соотв.</v>
      </c>
      <c r="AK41" t="str">
        <f>IF(FinalMelting[[#This Row],[MAWT]]&gt;wall_th_min_03, ComplyTxt, NonComplyTxt)</f>
        <v>Соотв.</v>
      </c>
    </row>
    <row r="42" spans="1:37" x14ac:dyDescent="0.25">
      <c r="A42" s="31" t="s">
        <v>150</v>
      </c>
      <c r="B42" s="31">
        <v>1</v>
      </c>
      <c r="C42" s="31" t="s">
        <v>61</v>
      </c>
      <c r="D42" s="31" t="s">
        <v>60</v>
      </c>
      <c r="E42" s="31" t="s">
        <v>323</v>
      </c>
      <c r="F42" s="31" t="s">
        <v>62</v>
      </c>
      <c r="G42" s="31" t="s">
        <v>63</v>
      </c>
      <c r="H42" s="31" t="s">
        <v>94</v>
      </c>
      <c r="I42" s="31">
        <v>0</v>
      </c>
      <c r="J42" s="31" t="s">
        <v>74</v>
      </c>
      <c r="K42" s="31">
        <v>5.93</v>
      </c>
      <c r="L42" s="31">
        <v>0</v>
      </c>
      <c r="M42" s="31">
        <v>0</v>
      </c>
      <c r="N42" s="31">
        <v>0</v>
      </c>
      <c r="O42" s="31" t="s">
        <v>327</v>
      </c>
      <c r="P42" s="31">
        <v>1.4</v>
      </c>
      <c r="Q42" s="31">
        <v>1</v>
      </c>
      <c r="R42" s="31">
        <v>1</v>
      </c>
      <c r="S42" s="31">
        <v>0.2</v>
      </c>
      <c r="T42" s="31">
        <v>1</v>
      </c>
      <c r="U42" s="31">
        <v>1</v>
      </c>
      <c r="V42" s="31"/>
      <c r="W42" s="31">
        <v>1</v>
      </c>
      <c r="X42" s="31">
        <v>10</v>
      </c>
      <c r="AA42" t="str">
        <f>FinalMelting[[#This Row],[FMPT_0]]&amp;"/"&amp;FinalMelting[[#This Row],[FMPT_1]]&amp;"/"&amp;FinalMelting[[#This Row],[FMPT_2]]&amp;"/"&amp;FinalMelting[[#This Row],[FMPT_3]]</f>
        <v>5,93/0/0/0</v>
      </c>
      <c r="AB42" t="str">
        <f>IF(FinalMelting[[#This Row],[MAES]]&lt;=MAES03_max,"Соотв.","Не соотв.")</f>
        <v>Соотв.</v>
      </c>
      <c r="AC42" t="str">
        <f>IF(FinalMelting[[#This Row],[MASS]],"Симмертично","Не симметрично")</f>
        <v>Симмертично</v>
      </c>
      <c r="AD42" t="str">
        <f t="shared" si="3"/>
        <v>Соотв.</v>
      </c>
      <c r="AE42" t="str">
        <f>IF(FinalMelting[[#This Row],[MAHS]],"Заплавлено","Не заплавлено")</f>
        <v>Заплавлено</v>
      </c>
      <c r="AF42" t="str">
        <f t="shared" si="1"/>
        <v>Соотв.</v>
      </c>
      <c r="AG42">
        <f>COUNTIF(FinalMelting[[#This Row],[FMPT_0]:[FMPT_3]],"&gt;0")-1</f>
        <v>0</v>
      </c>
      <c r="AH42" t="str">
        <f t="shared" si="2"/>
        <v>Соотв.</v>
      </c>
      <c r="AI42" t="str">
        <f>IF(FinalMelting[[#This Row],[CICS]]=1,DirtyAbsent,DitryExists)</f>
        <v>Загрязнение отсутствует</v>
      </c>
      <c r="AJ42" t="str">
        <f t="shared" si="0"/>
        <v>Соотв.</v>
      </c>
      <c r="AK42" t="str">
        <f>IF(FinalMelting[[#This Row],[MAWT]]&gt;wall_th_min_03, ComplyTxt, NonComplyTxt)</f>
        <v>Соотв.</v>
      </c>
    </row>
    <row r="43" spans="1:37" x14ac:dyDescent="0.25">
      <c r="A43" s="31" t="s">
        <v>152</v>
      </c>
      <c r="B43" s="31">
        <v>1</v>
      </c>
      <c r="C43" s="31" t="s">
        <v>61</v>
      </c>
      <c r="D43" s="31" t="s">
        <v>60</v>
      </c>
      <c r="E43" s="31" t="s">
        <v>323</v>
      </c>
      <c r="F43" s="31" t="s">
        <v>62</v>
      </c>
      <c r="G43" s="31" t="s">
        <v>63</v>
      </c>
      <c r="H43" s="31" t="s">
        <v>94</v>
      </c>
      <c r="I43" s="31">
        <v>0</v>
      </c>
      <c r="J43" s="31" t="s">
        <v>74</v>
      </c>
      <c r="K43" s="31">
        <v>5.22</v>
      </c>
      <c r="L43" s="31">
        <v>0</v>
      </c>
      <c r="M43" s="31">
        <v>0</v>
      </c>
      <c r="N43" s="31">
        <v>0</v>
      </c>
      <c r="O43" s="31" t="s">
        <v>327</v>
      </c>
      <c r="P43" s="31">
        <v>1.37</v>
      </c>
      <c r="Q43" s="31">
        <v>1</v>
      </c>
      <c r="R43" s="31">
        <v>1</v>
      </c>
      <c r="S43" s="31">
        <v>0.2</v>
      </c>
      <c r="T43" s="31">
        <v>1</v>
      </c>
      <c r="U43" s="31">
        <v>1</v>
      </c>
      <c r="V43" s="31"/>
      <c r="W43" s="31">
        <v>1</v>
      </c>
      <c r="X43" s="31">
        <v>10</v>
      </c>
      <c r="AA43" t="str">
        <f>FinalMelting[[#This Row],[FMPT_0]]&amp;"/"&amp;FinalMelting[[#This Row],[FMPT_1]]&amp;"/"&amp;FinalMelting[[#This Row],[FMPT_2]]&amp;"/"&amp;FinalMelting[[#This Row],[FMPT_3]]</f>
        <v>5,22/0/0/0</v>
      </c>
      <c r="AB43" t="str">
        <f>IF(FinalMelting[[#This Row],[MAES]]&lt;=MAES03_max,"Соотв.","Не соотв.")</f>
        <v>Соотв.</v>
      </c>
      <c r="AC43" t="str">
        <f>IF(FinalMelting[[#This Row],[MASS]],"Симмертично","Не симметрично")</f>
        <v>Симмертично</v>
      </c>
      <c r="AD43" t="str">
        <f t="shared" si="3"/>
        <v>Соотв.</v>
      </c>
      <c r="AE43" t="str">
        <f>IF(FinalMelting[[#This Row],[MAHS]],"Заплавлено","Не заплавлено")</f>
        <v>Заплавлено</v>
      </c>
      <c r="AF43" t="str">
        <f t="shared" si="1"/>
        <v>Соотв.</v>
      </c>
      <c r="AG43">
        <f>COUNTIF(FinalMelting[[#This Row],[FMPT_0]:[FMPT_3]],"&gt;0")-1</f>
        <v>0</v>
      </c>
      <c r="AH43" t="str">
        <f t="shared" si="2"/>
        <v>Соотв.</v>
      </c>
      <c r="AI43" t="str">
        <f>IF(FinalMelting[[#This Row],[CICS]]=1,DirtyAbsent,DitryExists)</f>
        <v>Загрязнение отсутствует</v>
      </c>
      <c r="AJ43" t="str">
        <f t="shared" si="0"/>
        <v>Соотв.</v>
      </c>
      <c r="AK43" t="str">
        <f>IF(FinalMelting[[#This Row],[MAWT]]&gt;wall_th_min_03, ComplyTxt, NonComplyTxt)</f>
        <v>Соотв.</v>
      </c>
    </row>
    <row r="44" spans="1:37" x14ac:dyDescent="0.25">
      <c r="A44" s="31" t="s">
        <v>154</v>
      </c>
      <c r="B44" s="31">
        <v>1</v>
      </c>
      <c r="C44" s="31" t="s">
        <v>61</v>
      </c>
      <c r="D44" s="31" t="s">
        <v>60</v>
      </c>
      <c r="E44" s="31" t="s">
        <v>323</v>
      </c>
      <c r="F44" s="31" t="s">
        <v>62</v>
      </c>
      <c r="G44" s="31" t="s">
        <v>63</v>
      </c>
      <c r="H44" s="31" t="s">
        <v>94</v>
      </c>
      <c r="I44" s="31">
        <v>0</v>
      </c>
      <c r="J44" s="31" t="s">
        <v>74</v>
      </c>
      <c r="K44" s="31">
        <v>5.92</v>
      </c>
      <c r="L44" s="31">
        <v>0</v>
      </c>
      <c r="M44" s="31">
        <v>0</v>
      </c>
      <c r="N44" s="31">
        <v>0</v>
      </c>
      <c r="O44" s="31" t="s">
        <v>327</v>
      </c>
      <c r="P44" s="31">
        <v>1.35</v>
      </c>
      <c r="Q44" s="31">
        <v>1</v>
      </c>
      <c r="R44" s="31">
        <v>1</v>
      </c>
      <c r="S44" s="31">
        <v>0.28999999999999998</v>
      </c>
      <c r="T44" s="31">
        <v>1</v>
      </c>
      <c r="U44" s="31">
        <v>1</v>
      </c>
      <c r="V44" s="31"/>
      <c r="W44" s="31">
        <v>1</v>
      </c>
      <c r="X44" s="31">
        <v>9.5</v>
      </c>
      <c r="AA44" t="str">
        <f>FinalMelting[[#This Row],[FMPT_0]]&amp;"/"&amp;FinalMelting[[#This Row],[FMPT_1]]&amp;"/"&amp;FinalMelting[[#This Row],[FMPT_2]]&amp;"/"&amp;FinalMelting[[#This Row],[FMPT_3]]</f>
        <v>5,92/0/0/0</v>
      </c>
      <c r="AB44" t="str">
        <f>IF(FinalMelting[[#This Row],[MAES]]&lt;=MAES03_max,"Соотв.","Не соотв.")</f>
        <v>Соотв.</v>
      </c>
      <c r="AC44" t="str">
        <f>IF(FinalMelting[[#This Row],[MASS]],"Симмертично","Не симметрично")</f>
        <v>Симмертично</v>
      </c>
      <c r="AD44" t="str">
        <f t="shared" si="3"/>
        <v>Соотв.</v>
      </c>
      <c r="AE44" t="str">
        <f>IF(FinalMelting[[#This Row],[MAHS]],"Заплавлено","Не заплавлено")</f>
        <v>Заплавлено</v>
      </c>
      <c r="AF44" t="str">
        <f t="shared" si="1"/>
        <v>Соотв.</v>
      </c>
      <c r="AG44">
        <f>COUNTIF(FinalMelting[[#This Row],[FMPT_0]:[FMPT_3]],"&gt;0")-1</f>
        <v>0</v>
      </c>
      <c r="AH44" t="str">
        <f t="shared" si="2"/>
        <v>Соотв.</v>
      </c>
      <c r="AI44" t="str">
        <f>IF(FinalMelting[[#This Row],[CICS]]=1,DirtyAbsent,DitryExists)</f>
        <v>Загрязнение отсутствует</v>
      </c>
      <c r="AJ44" t="str">
        <f t="shared" si="0"/>
        <v>Соотв.</v>
      </c>
      <c r="AK44" t="str">
        <f>IF(FinalMelting[[#This Row],[MAWT]]&gt;wall_th_min_03, ComplyTxt, NonComplyTxt)</f>
        <v>Соотв.</v>
      </c>
    </row>
    <row r="45" spans="1:37" x14ac:dyDescent="0.25">
      <c r="A45" s="31" t="s">
        <v>156</v>
      </c>
      <c r="B45" s="31">
        <v>1</v>
      </c>
      <c r="C45" s="31" t="s">
        <v>61</v>
      </c>
      <c r="D45" s="31" t="s">
        <v>60</v>
      </c>
      <c r="E45" s="31" t="s">
        <v>323</v>
      </c>
      <c r="F45" s="31" t="s">
        <v>81</v>
      </c>
      <c r="G45" s="31" t="s">
        <v>63</v>
      </c>
      <c r="H45" s="31" t="s">
        <v>64</v>
      </c>
      <c r="I45" s="31">
        <v>0</v>
      </c>
      <c r="J45" s="31" t="s">
        <v>74</v>
      </c>
      <c r="K45" s="31">
        <v>6.18</v>
      </c>
      <c r="L45" s="31">
        <v>0</v>
      </c>
      <c r="M45" s="31">
        <v>0</v>
      </c>
      <c r="N45" s="31">
        <v>0</v>
      </c>
      <c r="O45" s="31" t="s">
        <v>327</v>
      </c>
      <c r="P45" s="31">
        <v>1.35</v>
      </c>
      <c r="Q45" s="31">
        <v>1</v>
      </c>
      <c r="R45" s="31">
        <v>1</v>
      </c>
      <c r="S45" s="31">
        <v>0.28000000000000003</v>
      </c>
      <c r="T45" s="31">
        <v>1</v>
      </c>
      <c r="U45" s="31">
        <v>1</v>
      </c>
      <c r="V45" s="31"/>
      <c r="W45" s="31">
        <v>1</v>
      </c>
      <c r="X45" s="31">
        <v>10</v>
      </c>
      <c r="AA45" t="str">
        <f>FinalMelting[[#This Row],[FMPT_0]]&amp;"/"&amp;FinalMelting[[#This Row],[FMPT_1]]&amp;"/"&amp;FinalMelting[[#This Row],[FMPT_2]]&amp;"/"&amp;FinalMelting[[#This Row],[FMPT_3]]</f>
        <v>6,18/0/0/0</v>
      </c>
      <c r="AB45" t="str">
        <f>IF(FinalMelting[[#This Row],[MAES]]&lt;=MAES03_max,"Соотв.","Не соотв.")</f>
        <v>Соотв.</v>
      </c>
      <c r="AC45" t="str">
        <f>IF(FinalMelting[[#This Row],[MASS]],"Симмертично","Не симметрично")</f>
        <v>Симмертично</v>
      </c>
      <c r="AD45" t="str">
        <f t="shared" si="3"/>
        <v>Соотв.</v>
      </c>
      <c r="AE45" t="str">
        <f>IF(FinalMelting[[#This Row],[MAHS]],"Заплавлено","Не заплавлено")</f>
        <v>Заплавлено</v>
      </c>
      <c r="AF45" t="str">
        <f t="shared" si="1"/>
        <v>Соотв.</v>
      </c>
      <c r="AG45">
        <f>COUNTIF(FinalMelting[[#This Row],[FMPT_0]:[FMPT_3]],"&gt;0")-1</f>
        <v>0</v>
      </c>
      <c r="AH45" t="str">
        <f t="shared" si="2"/>
        <v>Соотв.</v>
      </c>
      <c r="AI45" t="str">
        <f>IF(FinalMelting[[#This Row],[CICS]]=1,DirtyAbsent,DitryExists)</f>
        <v>Загрязнение отсутствует</v>
      </c>
      <c r="AJ45" t="str">
        <f t="shared" si="0"/>
        <v>Соотв.</v>
      </c>
      <c r="AK45" t="str">
        <f>IF(FinalMelting[[#This Row],[MAWT]]&gt;wall_th_min_03, ComplyTxt, NonComplyTxt)</f>
        <v>Соотв.</v>
      </c>
    </row>
    <row r="46" spans="1:37" x14ac:dyDescent="0.25">
      <c r="A46" s="31" t="s">
        <v>158</v>
      </c>
      <c r="B46" s="31">
        <v>1</v>
      </c>
      <c r="C46" s="31" t="s">
        <v>61</v>
      </c>
      <c r="D46" s="31" t="s">
        <v>60</v>
      </c>
      <c r="E46" s="31" t="s">
        <v>323</v>
      </c>
      <c r="F46" s="31" t="s">
        <v>81</v>
      </c>
      <c r="G46" s="31" t="s">
        <v>63</v>
      </c>
      <c r="H46" s="31" t="s">
        <v>64</v>
      </c>
      <c r="I46" s="31">
        <v>0</v>
      </c>
      <c r="J46" s="31" t="s">
        <v>74</v>
      </c>
      <c r="K46" s="31">
        <v>5.21</v>
      </c>
      <c r="L46" s="31">
        <v>0</v>
      </c>
      <c r="M46" s="31">
        <v>0</v>
      </c>
      <c r="N46" s="31">
        <v>0</v>
      </c>
      <c r="O46" s="31" t="s">
        <v>327</v>
      </c>
      <c r="P46" s="31">
        <v>1.37</v>
      </c>
      <c r="Q46" s="31">
        <v>1</v>
      </c>
      <c r="R46" s="31">
        <v>1</v>
      </c>
      <c r="S46" s="31">
        <v>0.26</v>
      </c>
      <c r="T46" s="31">
        <v>1</v>
      </c>
      <c r="U46" s="31">
        <v>1</v>
      </c>
      <c r="V46" s="31"/>
      <c r="W46" s="31">
        <v>1</v>
      </c>
      <c r="X46" s="31">
        <v>10</v>
      </c>
      <c r="AA46" t="str">
        <f>FinalMelting[[#This Row],[FMPT_0]]&amp;"/"&amp;FinalMelting[[#This Row],[FMPT_1]]&amp;"/"&amp;FinalMelting[[#This Row],[FMPT_2]]&amp;"/"&amp;FinalMelting[[#This Row],[FMPT_3]]</f>
        <v>5,21/0/0/0</v>
      </c>
      <c r="AB46" t="str">
        <f>IF(FinalMelting[[#This Row],[MAES]]&lt;=MAES03_max,"Соотв.","Не соотв.")</f>
        <v>Соотв.</v>
      </c>
      <c r="AC46" t="str">
        <f>IF(FinalMelting[[#This Row],[MASS]],"Симмертично","Не симметрично")</f>
        <v>Симмертично</v>
      </c>
      <c r="AD46" t="str">
        <f t="shared" si="3"/>
        <v>Соотв.</v>
      </c>
      <c r="AE46" t="str">
        <f>IF(FinalMelting[[#This Row],[MAHS]],"Заплавлено","Не заплавлено")</f>
        <v>Заплавлено</v>
      </c>
      <c r="AF46" t="str">
        <f t="shared" si="1"/>
        <v>Соотв.</v>
      </c>
      <c r="AG46">
        <f>COUNTIF(FinalMelting[[#This Row],[FMPT_0]:[FMPT_3]],"&gt;0")-1</f>
        <v>0</v>
      </c>
      <c r="AH46" t="str">
        <f t="shared" si="2"/>
        <v>Соотв.</v>
      </c>
      <c r="AI46" t="str">
        <f>IF(FinalMelting[[#This Row],[CICS]]=1,DirtyAbsent,DitryExists)</f>
        <v>Загрязнение отсутствует</v>
      </c>
      <c r="AJ46" t="str">
        <f t="shared" si="0"/>
        <v>Соотв.</v>
      </c>
      <c r="AK46" t="str">
        <f>IF(FinalMelting[[#This Row],[MAWT]]&gt;wall_th_min_03, ComplyTxt, NonComplyTxt)</f>
        <v>Соотв.</v>
      </c>
    </row>
    <row r="47" spans="1:37" x14ac:dyDescent="0.25">
      <c r="A47" s="31" t="s">
        <v>160</v>
      </c>
      <c r="B47" s="31">
        <v>1</v>
      </c>
      <c r="C47" s="31" t="s">
        <v>61</v>
      </c>
      <c r="D47" s="31" t="s">
        <v>60</v>
      </c>
      <c r="E47" s="31" t="s">
        <v>323</v>
      </c>
      <c r="F47" s="31" t="s">
        <v>81</v>
      </c>
      <c r="G47" s="31" t="s">
        <v>63</v>
      </c>
      <c r="H47" s="31" t="s">
        <v>64</v>
      </c>
      <c r="I47" s="31">
        <v>0</v>
      </c>
      <c r="J47" s="31" t="s">
        <v>74</v>
      </c>
      <c r="K47" s="31">
        <v>5.58</v>
      </c>
      <c r="L47" s="31">
        <v>5.65</v>
      </c>
      <c r="M47" s="31">
        <v>5.46</v>
      </c>
      <c r="N47" s="31">
        <v>0</v>
      </c>
      <c r="O47" s="31" t="s">
        <v>327</v>
      </c>
      <c r="P47" s="31">
        <v>1.4</v>
      </c>
      <c r="Q47" s="31">
        <v>1</v>
      </c>
      <c r="R47" s="31">
        <v>1</v>
      </c>
      <c r="S47" s="31">
        <v>0.22</v>
      </c>
      <c r="T47" s="31">
        <v>1</v>
      </c>
      <c r="U47" s="31">
        <v>1</v>
      </c>
      <c r="V47" s="31"/>
      <c r="W47" s="31">
        <v>1</v>
      </c>
      <c r="X47" s="31">
        <v>10</v>
      </c>
      <c r="AA47" t="str">
        <f>FinalMelting[[#This Row],[FMPT_0]]&amp;"/"&amp;FinalMelting[[#This Row],[FMPT_1]]&amp;"/"&amp;FinalMelting[[#This Row],[FMPT_2]]&amp;"/"&amp;FinalMelting[[#This Row],[FMPT_3]]</f>
        <v>5,58/5,65/5,46/0</v>
      </c>
      <c r="AB47" t="str">
        <f>IF(FinalMelting[[#This Row],[MAES]]&lt;=MAES03_max,"Соотв.","Не соотв.")</f>
        <v>Соотв.</v>
      </c>
      <c r="AC47" t="str">
        <f>IF(FinalMelting[[#This Row],[MASS]],"Симмертично","Не симметрично")</f>
        <v>Симмертично</v>
      </c>
      <c r="AD47" t="str">
        <f t="shared" si="3"/>
        <v>Соотв.</v>
      </c>
      <c r="AE47" t="str">
        <f>IF(FinalMelting[[#This Row],[MAHS]],"Заплавлено","Не заплавлено")</f>
        <v>Заплавлено</v>
      </c>
      <c r="AF47" t="str">
        <f t="shared" si="1"/>
        <v>Соотв.</v>
      </c>
      <c r="AG47">
        <f>COUNTIF(FinalMelting[[#This Row],[FMPT_0]:[FMPT_3]],"&gt;0")-1</f>
        <v>2</v>
      </c>
      <c r="AH47" t="str">
        <f t="shared" si="2"/>
        <v>Соотв.</v>
      </c>
      <c r="AI47" t="str">
        <f>IF(FinalMelting[[#This Row],[CICS]]=1,DirtyAbsent,DitryExists)</f>
        <v>Загрязнение отсутствует</v>
      </c>
      <c r="AJ47" t="str">
        <f t="shared" si="0"/>
        <v>Соотв.</v>
      </c>
      <c r="AK47" t="str">
        <f>IF(FinalMelting[[#This Row],[MAWT]]&gt;wall_th_min_03, ComplyTxt, NonComplyTxt)</f>
        <v>Соотв.</v>
      </c>
    </row>
    <row r="48" spans="1:37" x14ac:dyDescent="0.25">
      <c r="A48" s="31" t="s">
        <v>162</v>
      </c>
      <c r="B48" s="31">
        <v>1</v>
      </c>
      <c r="C48" s="31" t="s">
        <v>61</v>
      </c>
      <c r="D48" s="31" t="s">
        <v>60</v>
      </c>
      <c r="E48" s="31" t="s">
        <v>323</v>
      </c>
      <c r="F48" s="31" t="s">
        <v>81</v>
      </c>
      <c r="G48" s="31" t="s">
        <v>73</v>
      </c>
      <c r="H48" s="31" t="s">
        <v>64</v>
      </c>
      <c r="I48" s="31">
        <v>0</v>
      </c>
      <c r="J48" s="31" t="s">
        <v>65</v>
      </c>
      <c r="K48" s="31">
        <v>5.58</v>
      </c>
      <c r="L48" s="31">
        <v>0</v>
      </c>
      <c r="M48" s="31">
        <v>0</v>
      </c>
      <c r="N48" s="31">
        <v>0</v>
      </c>
      <c r="O48" s="31" t="s">
        <v>327</v>
      </c>
      <c r="P48" s="31">
        <v>1.44</v>
      </c>
      <c r="Q48" s="31">
        <v>0</v>
      </c>
      <c r="R48" s="31">
        <v>0</v>
      </c>
      <c r="S48" s="31">
        <v>-1</v>
      </c>
      <c r="T48" s="31">
        <v>1</v>
      </c>
      <c r="U48" s="31">
        <v>0</v>
      </c>
      <c r="V48" s="31"/>
      <c r="W48" s="31">
        <v>0</v>
      </c>
      <c r="X48" s="31">
        <v>1</v>
      </c>
      <c r="AA48" t="str">
        <f>FinalMelting[[#This Row],[FMPT_0]]&amp;"/"&amp;FinalMelting[[#This Row],[FMPT_1]]&amp;"/"&amp;FinalMelting[[#This Row],[FMPT_2]]&amp;"/"&amp;FinalMelting[[#This Row],[FMPT_3]]</f>
        <v>5,58/0/0/0</v>
      </c>
      <c r="AB48" t="str">
        <f>IF(FinalMelting[[#This Row],[MAES]]&lt;=MAES03_max,"Соотв.","Не соотв.")</f>
        <v>Соотв.</v>
      </c>
      <c r="AC48" t="str">
        <f>IF(FinalMelting[[#This Row],[MASS]],"Симмертично","Не симметрично")</f>
        <v>Не симметрично</v>
      </c>
      <c r="AD48" t="str">
        <f t="shared" si="3"/>
        <v>Не соотв.</v>
      </c>
      <c r="AE48" t="str">
        <f>IF(FinalMelting[[#This Row],[MAHS]],"Заплавлено","Не заплавлено")</f>
        <v>Не заплавлено</v>
      </c>
      <c r="AF48" t="str">
        <f t="shared" si="1"/>
        <v>Не соотв.</v>
      </c>
      <c r="AG48">
        <f>COUNTIF(FinalMelting[[#This Row],[FMPT_0]:[FMPT_3]],"&gt;0")-1</f>
        <v>0</v>
      </c>
      <c r="AH48" t="str">
        <f t="shared" si="2"/>
        <v>Соотв.</v>
      </c>
      <c r="AI48" t="str">
        <f>IF(FinalMelting[[#This Row],[CICS]]=1,DirtyAbsent,DitryExists)</f>
        <v>Загрязнение отсутствует</v>
      </c>
      <c r="AJ48" t="str">
        <f t="shared" si="0"/>
        <v>Соотв.</v>
      </c>
      <c r="AK48" t="str">
        <f>IF(FinalMelting[[#This Row],[MAWT]]&gt;wall_th_min_03, ComplyTxt, NonComplyTxt)</f>
        <v>Не соотв.</v>
      </c>
    </row>
    <row r="49" spans="1:37" x14ac:dyDescent="0.25">
      <c r="A49" s="31" t="s">
        <v>164</v>
      </c>
      <c r="B49" s="31">
        <v>1</v>
      </c>
      <c r="C49" s="31" t="s">
        <v>61</v>
      </c>
      <c r="D49" s="31" t="s">
        <v>60</v>
      </c>
      <c r="E49" s="31" t="s">
        <v>323</v>
      </c>
      <c r="F49" s="31" t="s">
        <v>81</v>
      </c>
      <c r="G49" s="31" t="s">
        <v>73</v>
      </c>
      <c r="H49" s="31" t="s">
        <v>64</v>
      </c>
      <c r="I49" s="31">
        <v>0</v>
      </c>
      <c r="J49" s="31" t="s">
        <v>65</v>
      </c>
      <c r="K49" s="31">
        <v>5.75</v>
      </c>
      <c r="L49" s="31">
        <v>0</v>
      </c>
      <c r="M49" s="31">
        <v>0</v>
      </c>
      <c r="N49" s="31">
        <v>0</v>
      </c>
      <c r="O49" s="31" t="s">
        <v>327</v>
      </c>
      <c r="P49" s="31">
        <v>1.37</v>
      </c>
      <c r="Q49" s="31">
        <v>1</v>
      </c>
      <c r="R49" s="31">
        <v>1</v>
      </c>
      <c r="S49" s="31">
        <v>0.3</v>
      </c>
      <c r="T49" s="31">
        <v>1</v>
      </c>
      <c r="U49" s="31">
        <v>1</v>
      </c>
      <c r="V49" s="31"/>
      <c r="W49" s="31">
        <v>0</v>
      </c>
      <c r="X49" s="31">
        <v>10</v>
      </c>
      <c r="AA49" t="str">
        <f>FinalMelting[[#This Row],[FMPT_0]]&amp;"/"&amp;FinalMelting[[#This Row],[FMPT_1]]&amp;"/"&amp;FinalMelting[[#This Row],[FMPT_2]]&amp;"/"&amp;FinalMelting[[#This Row],[FMPT_3]]</f>
        <v>5,75/0/0/0</v>
      </c>
      <c r="AB49" t="str">
        <f>IF(FinalMelting[[#This Row],[MAES]]&lt;=MAES03_max,"Соотв.","Не соотв.")</f>
        <v>Соотв.</v>
      </c>
      <c r="AC49" t="str">
        <f>IF(FinalMelting[[#This Row],[MASS]],"Симмертично","Не симметрично")</f>
        <v>Симмертично</v>
      </c>
      <c r="AD49" t="str">
        <f t="shared" si="3"/>
        <v>Соотв.</v>
      </c>
      <c r="AE49" t="str">
        <f>IF(FinalMelting[[#This Row],[MAHS]],"Заплавлено","Не заплавлено")</f>
        <v>Заплавлено</v>
      </c>
      <c r="AF49" t="str">
        <f t="shared" si="1"/>
        <v>Соотв.</v>
      </c>
      <c r="AG49">
        <f>COUNTIF(FinalMelting[[#This Row],[FMPT_0]:[FMPT_3]],"&gt;0")-1</f>
        <v>0</v>
      </c>
      <c r="AH49" t="str">
        <f t="shared" si="2"/>
        <v>Соотв.</v>
      </c>
      <c r="AI49" t="str">
        <f>IF(FinalMelting[[#This Row],[CICS]]=1,DirtyAbsent,DitryExists)</f>
        <v>Загрязнение отсутствует</v>
      </c>
      <c r="AJ49" t="str">
        <f t="shared" si="0"/>
        <v>Соотв.</v>
      </c>
      <c r="AK49" t="str">
        <f>IF(FinalMelting[[#This Row],[MAWT]]&gt;wall_th_min_03, ComplyTxt, NonComplyTxt)</f>
        <v>Соотв.</v>
      </c>
    </row>
    <row r="50" spans="1:37" x14ac:dyDescent="0.25">
      <c r="A50" s="31" t="s">
        <v>166</v>
      </c>
      <c r="B50" s="31">
        <v>1</v>
      </c>
      <c r="C50" s="31" t="s">
        <v>61</v>
      </c>
      <c r="D50" s="31" t="s">
        <v>60</v>
      </c>
      <c r="E50" s="31" t="s">
        <v>323</v>
      </c>
      <c r="F50" s="31" t="s">
        <v>81</v>
      </c>
      <c r="G50" s="31" t="s">
        <v>73</v>
      </c>
      <c r="H50" s="31" t="s">
        <v>64</v>
      </c>
      <c r="I50" s="31">
        <v>0</v>
      </c>
      <c r="J50" s="31" t="s">
        <v>65</v>
      </c>
      <c r="K50" s="31">
        <v>6.03</v>
      </c>
      <c r="L50" s="31">
        <v>0</v>
      </c>
      <c r="M50" s="31">
        <v>0</v>
      </c>
      <c r="N50" s="31">
        <v>0</v>
      </c>
      <c r="O50" s="31" t="s">
        <v>327</v>
      </c>
      <c r="P50" s="31">
        <v>1.4</v>
      </c>
      <c r="Q50" s="31">
        <v>1</v>
      </c>
      <c r="R50" s="31">
        <v>1</v>
      </c>
      <c r="S50" s="31">
        <v>0.28000000000000003</v>
      </c>
      <c r="T50" s="31">
        <v>1</v>
      </c>
      <c r="U50" s="31">
        <v>1</v>
      </c>
      <c r="V50" s="31"/>
      <c r="W50" s="31">
        <v>0</v>
      </c>
      <c r="X50" s="31">
        <v>10</v>
      </c>
      <c r="AA50" t="str">
        <f>FinalMelting[[#This Row],[FMPT_0]]&amp;"/"&amp;FinalMelting[[#This Row],[FMPT_1]]&amp;"/"&amp;FinalMelting[[#This Row],[FMPT_2]]&amp;"/"&amp;FinalMelting[[#This Row],[FMPT_3]]</f>
        <v>6,03/0/0/0</v>
      </c>
      <c r="AB50" t="str">
        <f>IF(FinalMelting[[#This Row],[MAES]]&lt;=MAES03_max,"Соотв.","Не соотв.")</f>
        <v>Соотв.</v>
      </c>
      <c r="AC50" t="str">
        <f>IF(FinalMelting[[#This Row],[MASS]],"Симмертично","Не симметрично")</f>
        <v>Симмертично</v>
      </c>
      <c r="AD50" t="str">
        <f t="shared" si="3"/>
        <v>Соотв.</v>
      </c>
      <c r="AE50" t="str">
        <f>IF(FinalMelting[[#This Row],[MAHS]],"Заплавлено","Не заплавлено")</f>
        <v>Заплавлено</v>
      </c>
      <c r="AF50" t="str">
        <f t="shared" si="1"/>
        <v>Соотв.</v>
      </c>
      <c r="AG50">
        <f>COUNTIF(FinalMelting[[#This Row],[FMPT_0]:[FMPT_3]],"&gt;0")-1</f>
        <v>0</v>
      </c>
      <c r="AH50" t="str">
        <f t="shared" si="2"/>
        <v>Соотв.</v>
      </c>
      <c r="AI50" t="str">
        <f>IF(FinalMelting[[#This Row],[CICS]]=1,DirtyAbsent,DitryExists)</f>
        <v>Загрязнение отсутствует</v>
      </c>
      <c r="AJ50" t="str">
        <f t="shared" si="0"/>
        <v>Соотв.</v>
      </c>
      <c r="AK50" t="str">
        <f>IF(FinalMelting[[#This Row],[MAWT]]&gt;wall_th_min_03, ComplyTxt, NonComplyTxt)</f>
        <v>Соотв.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C6"/>
  <sheetViews>
    <sheetView workbookViewId="0">
      <selection activeCell="B8" sqref="B8"/>
    </sheetView>
  </sheetViews>
  <sheetFormatPr defaultRowHeight="15" x14ac:dyDescent="0.25"/>
  <cols>
    <col min="1" max="1" width="39.28515625" customWidth="1"/>
    <col min="2" max="2" width="20.7109375" bestFit="1" customWidth="1"/>
    <col min="3" max="3" width="23.7109375" bestFit="1" customWidth="1"/>
  </cols>
  <sheetData>
    <row r="2" spans="1:3" x14ac:dyDescent="0.25">
      <c r="A2" t="s">
        <v>359</v>
      </c>
      <c r="B2">
        <v>1.25</v>
      </c>
    </row>
    <row r="3" spans="1:3" x14ac:dyDescent="0.25">
      <c r="A3" t="s">
        <v>360</v>
      </c>
      <c r="B3">
        <v>1.45</v>
      </c>
    </row>
    <row r="4" spans="1:3" x14ac:dyDescent="0.25">
      <c r="A4" t="s">
        <v>363</v>
      </c>
      <c r="B4" t="s">
        <v>365</v>
      </c>
      <c r="C4" t="s">
        <v>364</v>
      </c>
    </row>
    <row r="5" spans="1:3" x14ac:dyDescent="0.25">
      <c r="A5" t="s">
        <v>366</v>
      </c>
      <c r="B5" t="s">
        <v>367</v>
      </c>
      <c r="C5" t="s">
        <v>368</v>
      </c>
    </row>
    <row r="6" spans="1:3" x14ac:dyDescent="0.25">
      <c r="A6" s="38" t="s">
        <v>369</v>
      </c>
      <c r="B6">
        <v>0.1</v>
      </c>
      <c r="C6">
        <v>0.1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9AFCF5-577E-4A4E-BCB6-ED292B10F2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</vt:i4>
      </vt:variant>
    </vt:vector>
  </HeadingPairs>
  <TitlesOfParts>
    <vt:vector size="29" baseType="lpstr">
      <vt:lpstr>Настройки</vt:lpstr>
      <vt:lpstr>Переменные</vt:lpstr>
      <vt:lpstr>Переменные таблиц</vt:lpstr>
      <vt:lpstr>Табл Спецификация</vt:lpstr>
      <vt:lpstr>Табл Test1</vt:lpstr>
      <vt:lpstr>Табл Test2</vt:lpstr>
      <vt:lpstr>ИмпортДанных</vt:lpstr>
      <vt:lpstr>Справочник</vt:lpstr>
      <vt:lpstr>ComplyTxt</vt:lpstr>
      <vt:lpstr>copy_tables_to_word</vt:lpstr>
      <vt:lpstr>create_pdf</vt:lpstr>
      <vt:lpstr>DirtyAbsent</vt:lpstr>
      <vt:lpstr>DitryExists</vt:lpstr>
      <vt:lpstr>MAES02_max</vt:lpstr>
      <vt:lpstr>MAES03_max</vt:lpstr>
      <vt:lpstr>merge_pdf</vt:lpstr>
      <vt:lpstr>merged_pdf_filename</vt:lpstr>
      <vt:lpstr>name_template</vt:lpstr>
      <vt:lpstr>NonComplyTxt</vt:lpstr>
      <vt:lpstr>open_dest_folder</vt:lpstr>
      <vt:lpstr>pdf_merge_program</vt:lpstr>
      <vt:lpstr>save_folder_path</vt:lpstr>
      <vt:lpstr>save_var_on_sync</vt:lpstr>
      <vt:lpstr>template_name</vt:lpstr>
      <vt:lpstr>template_path</vt:lpstr>
      <vt:lpstr>var_format</vt:lpstr>
      <vt:lpstr>wall_th_min_02</vt:lpstr>
      <vt:lpstr>wall_th_min_03</vt:lpstr>
      <vt:lpstr>ИсходныеДанные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Roadsleadme</dc:creator>
  <cp:lastModifiedBy>Sergey V Egorov</cp:lastModifiedBy>
  <cp:revision>1</cp:revision>
  <dcterms:created xsi:type="dcterms:W3CDTF">2022-11-11T17:35:35Z</dcterms:created>
  <dcterms:modified xsi:type="dcterms:W3CDTF">2025-05-30T08:04:48Z</dcterms:modified>
</cp:coreProperties>
</file>