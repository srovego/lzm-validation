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vegorov\Nextcloud\SPValidations\Validations\SP_Val_2\30_OQ\30_TestReports\"/>
    </mc:Choice>
  </mc:AlternateContent>
  <bookViews>
    <workbookView xWindow="0" yWindow="0" windowWidth="28800" windowHeight="11700" tabRatio="743" firstSheet="1" activeTab="1"/>
  </bookViews>
  <sheets>
    <sheet name="Настройки" sheetId="1" state="hidden" r:id="rId1"/>
    <sheet name="Переменные" sheetId="2" r:id="rId2"/>
    <sheet name="Переменные таблиц" sheetId="9" r:id="rId3"/>
    <sheet name="Табл Спецификация" sheetId="7" r:id="rId4"/>
    <sheet name="Табл Test1" sheetId="11" r:id="rId5"/>
    <sheet name="Табл Test2" sheetId="13" r:id="rId6"/>
  </sheets>
  <functionGroups builtInGroupCount="18"/>
  <definedNames>
    <definedName name="CBWorkbookPriority" hidden="1">-1751318906</definedName>
    <definedName name="copy_tables_to_word">Настройки!$B$12</definedName>
    <definedName name="create_pdf">Настройки!$B$9</definedName>
    <definedName name="merge_pdf">Настройки!$B$10</definedName>
    <definedName name="merged_pdf_filename">Настройки!$B$14</definedName>
    <definedName name="name_template">Настройки!$B$8</definedName>
    <definedName name="open_dest_folder">Настройки!$B$13</definedName>
    <definedName name="pdf_merge_program">Настройки!$B$11</definedName>
    <definedName name="save_folder_path">Настройки!$B$6</definedName>
    <definedName name="save_var_on_sync">Настройки!$B$7</definedName>
    <definedName name="template_name">Настройки!$B$5</definedName>
    <definedName name="template_path">Настройки!$B$4</definedName>
    <definedName name="var_format">Настройки!$B$3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2" l="1"/>
  <c r="A5" i="2" s="1"/>
  <c r="G6" i="2"/>
  <c r="A6" i="2" s="1"/>
  <c r="G7" i="2"/>
  <c r="A7" i="2" s="1"/>
  <c r="G8" i="2"/>
  <c r="A8" i="2" s="1"/>
  <c r="G9" i="2"/>
  <c r="A9" i="2" s="1"/>
  <c r="G10" i="2"/>
  <c r="A10" i="2" s="1"/>
  <c r="G11" i="2"/>
  <c r="A11" i="2" s="1"/>
  <c r="G12" i="2"/>
  <c r="A12" i="2" s="1"/>
  <c r="G13" i="2"/>
  <c r="A13" i="2" s="1"/>
  <c r="G14" i="2"/>
  <c r="A14" i="2" s="1"/>
  <c r="G15" i="2"/>
  <c r="A15" i="2" s="1"/>
  <c r="G16" i="2"/>
  <c r="A16" i="2" s="1"/>
  <c r="G17" i="2"/>
  <c r="A17" i="2" s="1"/>
  <c r="G18" i="2"/>
  <c r="A18" i="2" s="1"/>
  <c r="G19" i="2"/>
  <c r="A19" i="2" s="1"/>
  <c r="G20" i="2"/>
  <c r="A20" i="2" s="1"/>
  <c r="G21" i="2"/>
  <c r="A21" i="2" s="1"/>
  <c r="G22" i="2"/>
  <c r="A22" i="2" s="1"/>
  <c r="G23" i="2"/>
  <c r="A23" i="2" s="1"/>
  <c r="G24" i="2"/>
  <c r="A24" i="2" s="1"/>
  <c r="G25" i="2"/>
  <c r="A25" i="2" s="1"/>
  <c r="G26" i="2"/>
  <c r="A26" i="2" s="1"/>
  <c r="G27" i="2"/>
  <c r="A27" i="2" s="1"/>
  <c r="G28" i="2"/>
  <c r="A28" i="2" s="1"/>
  <c r="G29" i="2"/>
  <c r="A29" i="2" s="1"/>
  <c r="G30" i="2"/>
  <c r="A30" i="2" s="1"/>
  <c r="G31" i="2"/>
  <c r="A31" i="2" s="1"/>
  <c r="G32" i="2"/>
  <c r="A32" i="2" s="1"/>
  <c r="G33" i="2"/>
  <c r="A33" i="2" s="1"/>
  <c r="G34" i="2"/>
  <c r="A34" i="2" s="1"/>
  <c r="G35" i="2"/>
  <c r="A35" i="2" s="1"/>
  <c r="G36" i="2"/>
  <c r="A36" i="2" s="1"/>
  <c r="G37" i="2"/>
  <c r="A37" i="2" s="1"/>
  <c r="G38" i="2"/>
  <c r="A38" i="2" s="1"/>
  <c r="G39" i="2"/>
  <c r="A39" i="2" s="1"/>
  <c r="G40" i="2"/>
  <c r="A40" i="2" s="1"/>
  <c r="G41" i="2"/>
  <c r="A41" i="2" s="1"/>
  <c r="G42" i="2"/>
  <c r="A42" i="2" s="1"/>
  <c r="G43" i="2"/>
  <c r="A43" i="2" s="1"/>
  <c r="G44" i="2"/>
  <c r="A44" i="2" s="1"/>
  <c r="G45" i="2"/>
  <c r="A45" i="2" s="1"/>
  <c r="G46" i="2"/>
  <c r="A46" i="2" s="1"/>
  <c r="G47" i="2"/>
  <c r="A47" i="2" s="1"/>
  <c r="G48" i="2"/>
  <c r="A48" i="2" s="1"/>
  <c r="G49" i="2"/>
  <c r="A49" i="2" s="1"/>
  <c r="G50" i="2"/>
  <c r="A50" i="2" s="1"/>
  <c r="G51" i="2"/>
  <c r="A51" i="2" s="1"/>
  <c r="G4" i="2"/>
  <c r="A4" i="2" s="1"/>
  <c r="B50" i="2"/>
  <c r="B51" i="2"/>
  <c r="C50" i="2"/>
  <c r="C51" i="2"/>
  <c r="E50" i="2"/>
  <c r="E51" i="2"/>
  <c r="F50" i="2"/>
  <c r="F51" i="2"/>
  <c r="B49" i="2"/>
  <c r="C49" i="2"/>
  <c r="E49" i="2"/>
  <c r="F49" i="2"/>
  <c r="B47" i="2"/>
  <c r="B48" i="2"/>
  <c r="C47" i="2"/>
  <c r="C48" i="2"/>
  <c r="E47" i="2"/>
  <c r="E48" i="2"/>
  <c r="F47" i="2"/>
  <c r="F48" i="2"/>
  <c r="B46" i="2"/>
  <c r="C46" i="2"/>
  <c r="E46" i="2"/>
  <c r="F46" i="2"/>
  <c r="B44" i="2"/>
  <c r="B45" i="2"/>
  <c r="C44" i="2"/>
  <c r="C45" i="2"/>
  <c r="E44" i="2"/>
  <c r="E45" i="2"/>
  <c r="F44" i="2"/>
  <c r="F45" i="2"/>
  <c r="B43" i="2"/>
  <c r="C43" i="2"/>
  <c r="E43" i="2"/>
  <c r="F43" i="2"/>
  <c r="B41" i="2"/>
  <c r="B42" i="2"/>
  <c r="C41" i="2"/>
  <c r="C42" i="2"/>
  <c r="E41" i="2"/>
  <c r="E42" i="2"/>
  <c r="F41" i="2"/>
  <c r="F42" i="2"/>
  <c r="B40" i="2"/>
  <c r="C40" i="2"/>
  <c r="E40" i="2"/>
  <c r="F40" i="2"/>
  <c r="B38" i="2"/>
  <c r="B39" i="2"/>
  <c r="C38" i="2"/>
  <c r="C39" i="2"/>
  <c r="E38" i="2"/>
  <c r="E39" i="2"/>
  <c r="F38" i="2"/>
  <c r="F39" i="2"/>
  <c r="B37" i="2"/>
  <c r="C37" i="2"/>
  <c r="E37" i="2"/>
  <c r="F37" i="2"/>
  <c r="B35" i="2"/>
  <c r="B36" i="2"/>
  <c r="C35" i="2"/>
  <c r="C36" i="2"/>
  <c r="E35" i="2"/>
  <c r="E36" i="2"/>
  <c r="F35" i="2"/>
  <c r="F36" i="2"/>
  <c r="B34" i="2"/>
  <c r="C34" i="2"/>
  <c r="E34" i="2"/>
  <c r="F34" i="2"/>
  <c r="B32" i="2"/>
  <c r="B33" i="2"/>
  <c r="C32" i="2"/>
  <c r="C33" i="2"/>
  <c r="E32" i="2"/>
  <c r="E33" i="2"/>
  <c r="F32" i="2"/>
  <c r="F33" i="2"/>
  <c r="B31" i="2"/>
  <c r="C31" i="2"/>
  <c r="E31" i="2"/>
  <c r="F31" i="2"/>
  <c r="B29" i="2"/>
  <c r="B30" i="2"/>
  <c r="C29" i="2"/>
  <c r="C30" i="2"/>
  <c r="E29" i="2"/>
  <c r="E30" i="2"/>
  <c r="F29" i="2"/>
  <c r="F30" i="2"/>
  <c r="B28" i="2"/>
  <c r="C28" i="2"/>
  <c r="E28" i="2"/>
  <c r="F28" i="2"/>
  <c r="B26" i="2"/>
  <c r="B27" i="2"/>
  <c r="C26" i="2"/>
  <c r="C27" i="2"/>
  <c r="E26" i="2"/>
  <c r="E27" i="2"/>
  <c r="F26" i="2"/>
  <c r="F27" i="2"/>
  <c r="B25" i="2"/>
  <c r="C25" i="2"/>
  <c r="E25" i="2"/>
  <c r="F25" i="2"/>
  <c r="B23" i="2"/>
  <c r="B24" i="2"/>
  <c r="C23" i="2"/>
  <c r="C24" i="2"/>
  <c r="E23" i="2"/>
  <c r="E24" i="2"/>
  <c r="F23" i="2"/>
  <c r="F24" i="2"/>
  <c r="B22" i="2"/>
  <c r="C22" i="2"/>
  <c r="E22" i="2"/>
  <c r="F22" i="2"/>
  <c r="B20" i="2"/>
  <c r="B21" i="2"/>
  <c r="C20" i="2"/>
  <c r="C21" i="2"/>
  <c r="E20" i="2"/>
  <c r="E21" i="2"/>
  <c r="F20" i="2"/>
  <c r="F21" i="2"/>
  <c r="B19" i="2"/>
  <c r="C19" i="2"/>
  <c r="E19" i="2"/>
  <c r="F19" i="2"/>
  <c r="B17" i="2"/>
  <c r="B18" i="2"/>
  <c r="C17" i="2"/>
  <c r="C18" i="2"/>
  <c r="E17" i="2"/>
  <c r="E18" i="2"/>
  <c r="F17" i="2"/>
  <c r="F18" i="2"/>
  <c r="B16" i="2"/>
  <c r="C16" i="2"/>
  <c r="E16" i="2"/>
  <c r="F16" i="2"/>
  <c r="B13" i="2" l="1"/>
  <c r="B12" i="2"/>
  <c r="B11" i="2"/>
  <c r="B10" i="2"/>
  <c r="B9" i="2"/>
  <c r="B14" i="2"/>
  <c r="B15" i="2"/>
  <c r="C14" i="2"/>
  <c r="C15" i="2"/>
  <c r="E14" i="2"/>
  <c r="E15" i="2"/>
  <c r="F14" i="2"/>
  <c r="F15" i="2"/>
  <c r="B6" i="2"/>
  <c r="B5" i="2"/>
  <c r="B7" i="2" l="1"/>
  <c r="B8" i="2"/>
  <c r="C6" i="2"/>
  <c r="C7" i="2"/>
  <c r="C8" i="2"/>
  <c r="C9" i="2"/>
  <c r="C10" i="2"/>
  <c r="C11" i="2"/>
  <c r="C12" i="2"/>
  <c r="C13" i="2"/>
  <c r="E6" i="2"/>
  <c r="E7" i="2"/>
  <c r="E8" i="2"/>
  <c r="E9" i="2"/>
  <c r="E10" i="2"/>
  <c r="E11" i="2"/>
  <c r="E12" i="2"/>
  <c r="E13" i="2"/>
  <c r="F6" i="2"/>
  <c r="F7" i="2"/>
  <c r="F8" i="2"/>
  <c r="F9" i="2"/>
  <c r="F10" i="2"/>
  <c r="F11" i="2"/>
  <c r="F12" i="2"/>
  <c r="F13" i="2"/>
  <c r="A6" i="9" a="1"/>
  <c r="A6" i="9" s="1"/>
  <c r="B4" i="2" l="1"/>
  <c r="F4" i="2"/>
  <c r="F5" i="2"/>
  <c r="A5" i="9" a="1"/>
  <c r="A5" i="9" s="1"/>
  <c r="A4" i="9" a="1"/>
  <c r="A4" i="9" s="1"/>
  <c r="B49" i="7" l="1"/>
  <c r="B50" i="7"/>
  <c r="C49" i="7"/>
  <c r="C50" i="7"/>
  <c r="D49" i="7"/>
  <c r="D50" i="7"/>
  <c r="E49" i="7"/>
  <c r="E50" i="7"/>
  <c r="F49" i="7"/>
  <c r="F50" i="7"/>
  <c r="B48" i="7"/>
  <c r="C48" i="7"/>
  <c r="D48" i="7"/>
  <c r="E48" i="7"/>
  <c r="F48" i="7"/>
  <c r="B46" i="7"/>
  <c r="B47" i="7"/>
  <c r="C46" i="7"/>
  <c r="C47" i="7"/>
  <c r="D46" i="7"/>
  <c r="D47" i="7"/>
  <c r="E46" i="7"/>
  <c r="E47" i="7"/>
  <c r="F46" i="7"/>
  <c r="F47" i="7"/>
  <c r="B45" i="7"/>
  <c r="C45" i="7"/>
  <c r="D45" i="7"/>
  <c r="E45" i="7"/>
  <c r="F45" i="7"/>
  <c r="B43" i="7"/>
  <c r="B44" i="7"/>
  <c r="C43" i="7"/>
  <c r="C44" i="7"/>
  <c r="D43" i="7"/>
  <c r="D44" i="7"/>
  <c r="E43" i="7"/>
  <c r="E44" i="7"/>
  <c r="F43" i="7"/>
  <c r="F44" i="7"/>
  <c r="B42" i="7"/>
  <c r="C42" i="7"/>
  <c r="D42" i="7"/>
  <c r="E42" i="7"/>
  <c r="F42" i="7"/>
  <c r="B40" i="7"/>
  <c r="B41" i="7"/>
  <c r="C40" i="7"/>
  <c r="C41" i="7"/>
  <c r="D40" i="7"/>
  <c r="D41" i="7"/>
  <c r="E40" i="7"/>
  <c r="E41" i="7"/>
  <c r="F40" i="7"/>
  <c r="F41" i="7"/>
  <c r="B39" i="7"/>
  <c r="C39" i="7"/>
  <c r="D39" i="7"/>
  <c r="E39" i="7"/>
  <c r="F39" i="7"/>
  <c r="B37" i="7"/>
  <c r="B38" i="7"/>
  <c r="C37" i="7"/>
  <c r="C38" i="7"/>
  <c r="D37" i="7"/>
  <c r="D38" i="7"/>
  <c r="E37" i="7"/>
  <c r="E38" i="7"/>
  <c r="F37" i="7"/>
  <c r="F38" i="7"/>
  <c r="B36" i="7"/>
  <c r="C36" i="7"/>
  <c r="D36" i="7"/>
  <c r="E36" i="7"/>
  <c r="F36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E4" i="2"/>
  <c r="E5" i="2"/>
  <c r="C4" i="2"/>
  <c r="C5" i="2"/>
</calcChain>
</file>

<file path=xl/comments1.xml><?xml version="1.0" encoding="utf-8"?>
<comments xmlns="http://schemas.openxmlformats.org/spreadsheetml/2006/main">
  <authors>
    <author>Dmitry Roadsleadme</author>
  </authors>
  <commentList>
    <comment ref="B3" authorId="0" shapeId="0">
      <text>
        <r>
          <rPr>
            <b/>
            <sz val="9"/>
            <color indexed="81"/>
            <rFont val="Tahoma"/>
            <family val="2"/>
            <charset val="204"/>
          </rPr>
          <t>Dmitry Roadsleadme:</t>
        </r>
        <r>
          <rPr>
            <sz val="9"/>
            <color indexed="81"/>
            <rFont val="Tahoma"/>
            <family val="2"/>
            <charset val="204"/>
          </rPr>
          <t xml:space="preserve">
Для того, чтобы исключить файл из экспорта, стереть из ячейки "да"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<sst xmlns="http://schemas.openxmlformats.org/spreadsheetml/2006/main" count="456" uniqueCount="251">
  <si>
    <t>Формат имени переменных в шаблоне</t>
  </si>
  <si>
    <t>Путь к шаблону</t>
  </si>
  <si>
    <t>Путь к папке сохранения</t>
  </si>
  <si>
    <t>Шаблон имени заполненных файлов</t>
  </si>
  <si>
    <t>*Имя шаблона*</t>
  </si>
  <si>
    <t>Сохранить значения при синхронизации</t>
  </si>
  <si>
    <t>*Сегодня*</t>
  </si>
  <si>
    <t>Имя переменной таблицы</t>
  </si>
  <si>
    <t>Артикул</t>
  </si>
  <si>
    <t>Наименование</t>
  </si>
  <si>
    <t>Кол-во, шт</t>
  </si>
  <si>
    <t>Ед. изм.</t>
  </si>
  <si>
    <t>Производитель</t>
  </si>
  <si>
    <t>&lt;имя&gt;</t>
  </si>
  <si>
    <t>Спецификация</t>
  </si>
  <si>
    <t>Переменные</t>
  </si>
  <si>
    <t>Test1</t>
  </si>
  <si>
    <t>Переменные таблиц</t>
  </si>
  <si>
    <t>TEST21</t>
  </si>
  <si>
    <t>TEST22</t>
  </si>
  <si>
    <t>TEST11</t>
  </si>
  <si>
    <t>TEST12</t>
  </si>
  <si>
    <t>1B1</t>
  </si>
  <si>
    <t>2B2</t>
  </si>
  <si>
    <t>1A1</t>
  </si>
  <si>
    <t>2A2</t>
  </si>
  <si>
    <t>1A2</t>
  </si>
  <si>
    <t>1B2</t>
  </si>
  <si>
    <t>1A3</t>
  </si>
  <si>
    <t>1B3</t>
  </si>
  <si>
    <t>1A4</t>
  </si>
  <si>
    <t>1B4</t>
  </si>
  <si>
    <t>1A5</t>
  </si>
  <si>
    <t>1B5</t>
  </si>
  <si>
    <t>1A6</t>
  </si>
  <si>
    <t>1B6</t>
  </si>
  <si>
    <t>1A7</t>
  </si>
  <si>
    <t>1B7</t>
  </si>
  <si>
    <t>1A8</t>
  </si>
  <si>
    <t>1B8</t>
  </si>
  <si>
    <t>1A9</t>
  </si>
  <si>
    <t>1B9</t>
  </si>
  <si>
    <t>1A10</t>
  </si>
  <si>
    <t>1B10</t>
  </si>
  <si>
    <t>1A11</t>
  </si>
  <si>
    <t>1B11</t>
  </si>
  <si>
    <t>1A12</t>
  </si>
  <si>
    <t>1B12</t>
  </si>
  <si>
    <t>1A13</t>
  </si>
  <si>
    <t>1B13</t>
  </si>
  <si>
    <t>1A14</t>
  </si>
  <si>
    <t>1B14</t>
  </si>
  <si>
    <t>1A15</t>
  </si>
  <si>
    <t>1B15</t>
  </si>
  <si>
    <t>1A16</t>
  </si>
  <si>
    <t>1B16</t>
  </si>
  <si>
    <t>1A17</t>
  </si>
  <si>
    <t>1B17</t>
  </si>
  <si>
    <t>1A18</t>
  </si>
  <si>
    <t>1B18</t>
  </si>
  <si>
    <t>1A19</t>
  </si>
  <si>
    <t>1B19</t>
  </si>
  <si>
    <t>1A20</t>
  </si>
  <si>
    <t>1B20</t>
  </si>
  <si>
    <t>1A21</t>
  </si>
  <si>
    <t>1B21</t>
  </si>
  <si>
    <t>1A22</t>
  </si>
  <si>
    <t>1B22</t>
  </si>
  <si>
    <t>1A23</t>
  </si>
  <si>
    <t>1B23</t>
  </si>
  <si>
    <t>1A24</t>
  </si>
  <si>
    <t>1B24</t>
  </si>
  <si>
    <t>1A25</t>
  </si>
  <si>
    <t>1B25</t>
  </si>
  <si>
    <t>1A26</t>
  </si>
  <si>
    <t>1B26</t>
  </si>
  <si>
    <t>1A27</t>
  </si>
  <si>
    <t>1B27</t>
  </si>
  <si>
    <t>1A28</t>
  </si>
  <si>
    <t>1B28</t>
  </si>
  <si>
    <t>1A29</t>
  </si>
  <si>
    <t>1B29</t>
  </si>
  <si>
    <t>1A30</t>
  </si>
  <si>
    <t>1B30</t>
  </si>
  <si>
    <t>2A1</t>
  </si>
  <si>
    <t>2A3</t>
  </si>
  <si>
    <t>2A4</t>
  </si>
  <si>
    <t>2A5</t>
  </si>
  <si>
    <t>2A6</t>
  </si>
  <si>
    <t>2A7</t>
  </si>
  <si>
    <t>2A8</t>
  </si>
  <si>
    <t>2A9</t>
  </si>
  <si>
    <t>2A10</t>
  </si>
  <si>
    <t>2A11</t>
  </si>
  <si>
    <t>2A12</t>
  </si>
  <si>
    <t>2A13</t>
  </si>
  <si>
    <t>2B1</t>
  </si>
  <si>
    <t>2B3</t>
  </si>
  <si>
    <t>2B4</t>
  </si>
  <si>
    <t>2B5</t>
  </si>
  <si>
    <t>2B6</t>
  </si>
  <si>
    <t>2B7</t>
  </si>
  <si>
    <t>2B8</t>
  </si>
  <si>
    <t>2B9</t>
  </si>
  <si>
    <t>2B10</t>
  </si>
  <si>
    <t>2B11</t>
  </si>
  <si>
    <t>2B12</t>
  </si>
  <si>
    <t>2B13</t>
  </si>
  <si>
    <t>2A14</t>
  </si>
  <si>
    <t>2B14</t>
  </si>
  <si>
    <t>2A15</t>
  </si>
  <si>
    <t>2B15</t>
  </si>
  <si>
    <t>2A16</t>
  </si>
  <si>
    <t>2B16</t>
  </si>
  <si>
    <t>2A17</t>
  </si>
  <si>
    <t>2B17</t>
  </si>
  <si>
    <t>2A18</t>
  </si>
  <si>
    <t>2B18</t>
  </si>
  <si>
    <t>2A19</t>
  </si>
  <si>
    <t>2B19</t>
  </si>
  <si>
    <t>2A20</t>
  </si>
  <si>
    <t>2B20</t>
  </si>
  <si>
    <t>2A21</t>
  </si>
  <si>
    <t>2B21</t>
  </si>
  <si>
    <t>2A22</t>
  </si>
  <si>
    <t>2B22</t>
  </si>
  <si>
    <t>2A23</t>
  </si>
  <si>
    <t>2B23</t>
  </si>
  <si>
    <t>2A24</t>
  </si>
  <si>
    <t>2B24</t>
  </si>
  <si>
    <t>2A25</t>
  </si>
  <si>
    <t>2B25</t>
  </si>
  <si>
    <t>2A26</t>
  </si>
  <si>
    <t>2B26</t>
  </si>
  <si>
    <t>2A27</t>
  </si>
  <si>
    <t>2B27</t>
  </si>
  <si>
    <t>2A28</t>
  </si>
  <si>
    <t>2B28</t>
  </si>
  <si>
    <t>2A29</t>
  </si>
  <si>
    <t>2B29</t>
  </si>
  <si>
    <t>2A30</t>
  </si>
  <si>
    <t>2B30</t>
  </si>
  <si>
    <t>Вставлять в Word целиком</t>
  </si>
  <si>
    <t>Программа для слияния pdf</t>
  </si>
  <si>
    <t>Табл Спецификация</t>
  </si>
  <si>
    <t>Табл Test1</t>
  </si>
  <si>
    <t>Имена обязаны начинаться с "TABLE "</t>
  </si>
  <si>
    <t>TABLE Спецификация</t>
  </si>
  <si>
    <t>нет</t>
  </si>
  <si>
    <t>Название таблицы</t>
  </si>
  <si>
    <t>Лист таблицы</t>
  </si>
  <si>
    <t>да</t>
  </si>
  <si>
    <t>TABLE Insert Whole</t>
  </si>
  <si>
    <t>Копировать таблицы в Word</t>
  </si>
  <si>
    <t>Открыть папку после создания файлов</t>
  </si>
  <si>
    <t>ID</t>
  </si>
  <si>
    <t>Первый столбец НЕ переносится в Word. Таблица копируется вместе с форматированием.</t>
  </si>
  <si>
    <t>Первый столбец "ID" - служебный. Зарезервирован под номера, чтобы можно было фильтровать строки.</t>
  </si>
  <si>
    <t>Количество уникальных индексов в столбце "ID" ОБЯЗАНО совпадать с количеством генерируемых файлов.</t>
  </si>
  <si>
    <t>Название копируемой таблицы</t>
  </si>
  <si>
    <t>Название листа с копируемой таблицей</t>
  </si>
  <si>
    <t>Таблица для копирования в документ Word</t>
  </si>
  <si>
    <t>*ID*</t>
  </si>
  <si>
    <t>№</t>
  </si>
  <si>
    <t>Имя объединённого pdf-файла</t>
  </si>
  <si>
    <t>Настройки программы</t>
  </si>
  <si>
    <t>Объединённый файл</t>
  </si>
  <si>
    <t>*Спецсимволы*</t>
  </si>
  <si>
    <t>Копировать заголовок таблицы</t>
  </si>
  <si>
    <t>да / нет</t>
  </si>
  <si>
    <t>Создать pdf файлы из заполненных документов</t>
  </si>
  <si>
    <t>Объединить pdf файлы в один файл</t>
  </si>
  <si>
    <t>*Сегодня2*</t>
  </si>
  <si>
    <t>*Экспортировать*</t>
  </si>
  <si>
    <t>совпадающие</t>
  </si>
  <si>
    <t>TABLE Not in table1</t>
  </si>
  <si>
    <t>да / нет (нет - фильтровать таблицу по id)</t>
  </si>
  <si>
    <t>PDFCreator</t>
  </si>
  <si>
    <t>спрашивать</t>
  </si>
  <si>
    <t>Val_2 OQ Sample parameters report template</t>
  </si>
  <si>
    <t>TestReportID</t>
  </si>
  <si>
    <t>ОТ 0111.471-02</t>
  </si>
  <si>
    <t>02_7_1</t>
  </si>
  <si>
    <t>02_7_2</t>
  </si>
  <si>
    <t>02_7_3</t>
  </si>
  <si>
    <t>02_8_1</t>
  </si>
  <si>
    <t>02_8_2</t>
  </si>
  <si>
    <t>02_8_3</t>
  </si>
  <si>
    <t>02_4_1</t>
  </si>
  <si>
    <t>02_4_2</t>
  </si>
  <si>
    <t>02_4_3</t>
  </si>
  <si>
    <t>02_1_1</t>
  </si>
  <si>
    <t>02_1_2</t>
  </si>
  <si>
    <t>02_1_3</t>
  </si>
  <si>
    <t>02_5_1</t>
  </si>
  <si>
    <t>02_5_2</t>
  </si>
  <si>
    <t>02_5_3</t>
  </si>
  <si>
    <t>ОТ 0111.471-03</t>
  </si>
  <si>
    <t>03_9_1</t>
  </si>
  <si>
    <t>03_9_2</t>
  </si>
  <si>
    <t>03_9_3</t>
  </si>
  <si>
    <t>03_16_1</t>
  </si>
  <si>
    <t>03_16_2</t>
  </si>
  <si>
    <t>03_16_3</t>
  </si>
  <si>
    <t>03_10_1</t>
  </si>
  <si>
    <t>03_10_2</t>
  </si>
  <si>
    <t>03_10_3</t>
  </si>
  <si>
    <t>03_12_1</t>
  </si>
  <si>
    <t>03_12_2</t>
  </si>
  <si>
    <t>03_12_3</t>
  </si>
  <si>
    <t>03_14_1</t>
  </si>
  <si>
    <t>03_14_2</t>
  </si>
  <si>
    <t>03_14_3</t>
  </si>
  <si>
    <t>03_13_1</t>
  </si>
  <si>
    <t>03_13_2</t>
  </si>
  <si>
    <t>03_13_3</t>
  </si>
  <si>
    <t>03_15_1</t>
  </si>
  <si>
    <t>03_15_2</t>
  </si>
  <si>
    <t>03_15_3</t>
  </si>
  <si>
    <t>03_11_1</t>
  </si>
  <si>
    <t>03_11_2</t>
  </si>
  <si>
    <t>03_11_3</t>
  </si>
  <si>
    <t>02_6_1</t>
  </si>
  <si>
    <t>02_6_2</t>
  </si>
  <si>
    <t>02_6_3</t>
  </si>
  <si>
    <t>02_2_1</t>
  </si>
  <si>
    <t>02_2_2</t>
  </si>
  <si>
    <t>02_2_3</t>
  </si>
  <si>
    <t>02_3_1</t>
  </si>
  <si>
    <t>02_3_2</t>
  </si>
  <si>
    <t>02_3_3</t>
  </si>
  <si>
    <t>Place</t>
  </si>
  <si>
    <t>Date</t>
  </si>
  <si>
    <t>Temperature</t>
  </si>
  <si>
    <t>Humidity</t>
  </si>
  <si>
    <t>Eq_1_id</t>
  </si>
  <si>
    <t>Eq_1_model</t>
  </si>
  <si>
    <t>DUT type</t>
  </si>
  <si>
    <t>DUT id</t>
  </si>
  <si>
    <t>dh_val</t>
  </si>
  <si>
    <t>ml_val</t>
  </si>
  <si>
    <t>md_val</t>
  </si>
  <si>
    <t>gl_val</t>
  </si>
  <si>
    <t>ADF-D 450</t>
  </si>
  <si>
    <t>Val_2 OQ Sample parameters report template.docx</t>
  </si>
  <si>
    <t>N/A</t>
  </si>
  <si>
    <t>gw_val</t>
  </si>
  <si>
    <t>glend_val</t>
  </si>
  <si>
    <t>ПК-10, к.313</t>
  </si>
  <si>
    <t>cl_val</t>
  </si>
  <si>
    <t>Sample Parameters TRs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</si>
</sst>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20"/>
      <color theme="0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20"/>
      <name val="Calibri"/>
      <family val="2"/>
      <charset val="204"/>
      <scheme val="minor"/>
    </font>
    <font>
      <sz val="2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color theme="1"/>
      <name val="Arial"/>
      <family val="2"/>
      <charset val="204"/>
    </font>
    <font>
      <sz val="9"/>
      <color theme="1"/>
      <name val="Calibri"/>
      <family val="2"/>
      <charset val="204"/>
      <scheme val="minor"/>
    </font>
    <font>
      <b/>
      <sz val="8"/>
      <color theme="0"/>
      <name val="Calibri"/>
      <family val="2"/>
      <charset val="204"/>
      <scheme val="minor"/>
    </font>
    <font>
      <sz val="8"/>
      <color rgb="FF00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left" vertical="top"/>
    </xf>
    <xf numFmtId="0" fontId="3" fillId="4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5" fillId="0" borderId="0" xfId="0" applyFont="1" applyAlignment="1">
      <alignment horizontal="left"/>
    </xf>
    <xf numFmtId="0" fontId="6" fillId="5" borderId="0" xfId="0" applyFont="1" applyFill="1" applyAlignment="1">
      <alignment horizontal="left" vertical="center"/>
    </xf>
    <xf numFmtId="0" fontId="7" fillId="5" borderId="0" xfId="0" applyFont="1" applyFill="1" applyAlignment="1">
      <alignment horizontal="left" vertical="center"/>
    </xf>
    <xf numFmtId="0" fontId="7" fillId="5" borderId="0" xfId="0" applyFont="1" applyFill="1" applyAlignment="1">
      <alignment horizontal="center" vertical="center"/>
    </xf>
    <xf numFmtId="0" fontId="1" fillId="6" borderId="1" xfId="0" applyFont="1" applyFill="1" applyBorder="1" applyAlignment="1">
      <alignment vertical="top"/>
    </xf>
    <xf numFmtId="0" fontId="3" fillId="7" borderId="0" xfId="0" applyFont="1" applyFill="1" applyAlignment="1">
      <alignment vertical="center"/>
    </xf>
    <xf numFmtId="0" fontId="0" fillId="7" borderId="0" xfId="0" applyFill="1"/>
    <xf numFmtId="0" fontId="5" fillId="0" borderId="0" xfId="0" applyFont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/>
    </xf>
    <xf numFmtId="0" fontId="0" fillId="0" borderId="0" xfId="0" applyFill="1" applyAlignment="1">
      <alignment horizontal="left"/>
    </xf>
    <xf numFmtId="0" fontId="10" fillId="0" borderId="0" xfId="0" applyFont="1" applyFill="1"/>
    <xf numFmtId="0" fontId="11" fillId="0" borderId="0" xfId="0" applyFont="1" applyAlignment="1">
      <alignment horizontal="center"/>
    </xf>
    <xf numFmtId="0" fontId="10" fillId="0" borderId="0" xfId="0" applyNumberFormat="1" applyFont="1" applyFill="1" applyAlignment="1">
      <alignment horizontal="left"/>
    </xf>
    <xf numFmtId="0" fontId="10" fillId="0" borderId="0" xfId="0" applyNumberFormat="1" applyFont="1" applyFill="1" applyBorder="1" applyAlignment="1">
      <alignment horizontal="left"/>
    </xf>
    <xf numFmtId="0" fontId="5" fillId="0" borderId="0" xfId="0" applyFont="1" applyFill="1" applyAlignment="1">
      <alignment horizontal="left"/>
    </xf>
    <xf numFmtId="0" fontId="5" fillId="0" borderId="0" xfId="0" applyNumberFormat="1" applyFont="1" applyFill="1" applyAlignment="1">
      <alignment horizontal="left"/>
    </xf>
    <xf numFmtId="0" fontId="5" fillId="0" borderId="0" xfId="0" applyNumberFormat="1" applyFont="1" applyFill="1" applyBorder="1" applyAlignment="1">
      <alignment horizontal="left"/>
    </xf>
    <xf numFmtId="0" fontId="5" fillId="0" borderId="0" xfId="0" applyFont="1" applyAlignment="1">
      <alignment horizontal="center"/>
    </xf>
    <xf numFmtId="0" fontId="12" fillId="2" borderId="0" xfId="0" applyFont="1" applyFill="1" applyAlignment="1">
      <alignment horizontal="left" vertical="center"/>
    </xf>
    <xf numFmtId="0" fontId="5" fillId="8" borderId="0" xfId="0" applyFont="1" applyFill="1" applyAlignment="1">
      <alignment horizontal="center"/>
    </xf>
    <xf numFmtId="14" fontId="5" fillId="0" borderId="0" xfId="0" applyNumberFormat="1" applyFont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 vertical="center" wrapText="1"/>
    </xf>
    <xf numFmtId="14" fontId="5" fillId="0" borderId="0" xfId="0" applyNumberFormat="1" applyFont="1" applyFill="1" applyAlignment="1">
      <alignment horizontal="center"/>
    </xf>
    <xf numFmtId="0" fontId="12" fillId="2" borderId="0" xfId="0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/>
    </xf>
    <xf numFmtId="0" fontId="5" fillId="0" borderId="0" xfId="0" applyNumberFormat="1" applyFont="1" applyFill="1" applyBorder="1" applyAlignment="1">
      <alignment horizontal="center"/>
    </xf>
    <xf numFmtId="14" fontId="12" fillId="2" borderId="0" xfId="0" applyNumberFormat="1" applyFont="1" applyFill="1" applyAlignment="1">
      <alignment horizontal="center" vertical="center"/>
    </xf>
    <xf numFmtId="0" fontId="1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50"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textRotation="0" wrapText="0" indent="0" justifyLastLine="0" shrinkToFit="0" readingOrder="0"/>
    </dxf>
    <dxf>
      <numFmt numFmtId="0" formatCode="General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9B9B"/>
      <color rgb="FF820000"/>
      <color rgb="FFB490DC"/>
      <color rgb="FF7043C1"/>
      <color rgb="FF960000"/>
      <color rgb="FF3B1D5D"/>
      <color rgb="FF6879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70603674540682E-2"/>
          <c:y val="2.5428331875182269E-2"/>
          <c:w val="0.88084251968503935"/>
          <c:h val="0.72088764946048411"/>
        </c:manualLayout>
      </c:layout>
      <c:scatterChart>
        <c:scatterStyle val="lineMarker"/>
        <c:varyColors val="0"/>
        <c:ser>
          <c:idx val="1"/>
          <c:order val="0"/>
          <c:tx>
            <c:v>Type 02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Переменные!$Q$4:$Q$27</c:f>
              <c:numCache>
                <c:formatCode>General</c:formatCode>
                <c:ptCount val="24"/>
                <c:pt idx="0">
                  <c:v>0.3</c:v>
                </c:pt>
                <c:pt idx="1">
                  <c:v>0.32</c:v>
                </c:pt>
                <c:pt idx="2">
                  <c:v>0.35</c:v>
                </c:pt>
                <c:pt idx="3">
                  <c:v>0.44</c:v>
                </c:pt>
                <c:pt idx="4">
                  <c:v>0.33</c:v>
                </c:pt>
                <c:pt idx="5">
                  <c:v>0.3</c:v>
                </c:pt>
                <c:pt idx="6">
                  <c:v>0.34</c:v>
                </c:pt>
                <c:pt idx="7">
                  <c:v>0.23</c:v>
                </c:pt>
                <c:pt idx="8">
                  <c:v>0.3</c:v>
                </c:pt>
                <c:pt idx="9">
                  <c:v>0.44</c:v>
                </c:pt>
                <c:pt idx="10">
                  <c:v>0.22</c:v>
                </c:pt>
                <c:pt idx="11">
                  <c:v>0.32</c:v>
                </c:pt>
                <c:pt idx="12">
                  <c:v>0.17</c:v>
                </c:pt>
                <c:pt idx="13">
                  <c:v>0.4</c:v>
                </c:pt>
                <c:pt idx="14">
                  <c:v>0.37</c:v>
                </c:pt>
                <c:pt idx="15">
                  <c:v>0.3</c:v>
                </c:pt>
                <c:pt idx="16">
                  <c:v>0.46</c:v>
                </c:pt>
                <c:pt idx="17">
                  <c:v>0.36</c:v>
                </c:pt>
                <c:pt idx="18">
                  <c:v>0.28000000000000003</c:v>
                </c:pt>
                <c:pt idx="19">
                  <c:v>0.32</c:v>
                </c:pt>
                <c:pt idx="20">
                  <c:v>0.28000000000000003</c:v>
                </c:pt>
                <c:pt idx="21">
                  <c:v>0.42</c:v>
                </c:pt>
                <c:pt idx="22">
                  <c:v>0.3</c:v>
                </c:pt>
                <c:pt idx="23">
                  <c:v>0.35</c:v>
                </c:pt>
              </c:numCache>
            </c:numRef>
          </c:xVal>
          <c:yVal>
            <c:numRef>
              <c:f>Переменные!$R$4:$R$27</c:f>
              <c:numCache>
                <c:formatCode>General</c:formatCode>
                <c:ptCount val="24"/>
                <c:pt idx="0">
                  <c:v>0.41</c:v>
                </c:pt>
                <c:pt idx="1">
                  <c:v>0.4</c:v>
                </c:pt>
                <c:pt idx="2">
                  <c:v>0.35</c:v>
                </c:pt>
                <c:pt idx="3">
                  <c:v>0.33</c:v>
                </c:pt>
                <c:pt idx="4">
                  <c:v>0.43</c:v>
                </c:pt>
                <c:pt idx="5">
                  <c:v>0.45</c:v>
                </c:pt>
                <c:pt idx="6">
                  <c:v>0.39</c:v>
                </c:pt>
                <c:pt idx="7">
                  <c:v>0.47</c:v>
                </c:pt>
                <c:pt idx="8">
                  <c:v>0.45</c:v>
                </c:pt>
                <c:pt idx="9">
                  <c:v>0.45</c:v>
                </c:pt>
                <c:pt idx="10">
                  <c:v>0.5</c:v>
                </c:pt>
                <c:pt idx="11">
                  <c:v>0.38</c:v>
                </c:pt>
                <c:pt idx="12">
                  <c:v>0.48</c:v>
                </c:pt>
                <c:pt idx="13">
                  <c:v>0.34</c:v>
                </c:pt>
                <c:pt idx="14">
                  <c:v>0.37</c:v>
                </c:pt>
                <c:pt idx="15">
                  <c:v>0.44</c:v>
                </c:pt>
                <c:pt idx="16">
                  <c:v>0.42</c:v>
                </c:pt>
                <c:pt idx="17">
                  <c:v>0.38</c:v>
                </c:pt>
                <c:pt idx="18">
                  <c:v>0.44</c:v>
                </c:pt>
                <c:pt idx="19">
                  <c:v>0.36</c:v>
                </c:pt>
                <c:pt idx="20">
                  <c:v>0.34</c:v>
                </c:pt>
                <c:pt idx="21">
                  <c:v>0.39</c:v>
                </c:pt>
                <c:pt idx="22">
                  <c:v>0.39</c:v>
                </c:pt>
                <c:pt idx="23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D5-42B5-8BE3-530DCDADBD37}"/>
            </c:ext>
          </c:extLst>
        </c:ser>
        <c:ser>
          <c:idx val="0"/>
          <c:order val="1"/>
          <c:tx>
            <c:v>Type 03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Переменные!$Q$28:$Q$51</c:f>
              <c:numCache>
                <c:formatCode>General</c:formatCode>
                <c:ptCount val="24"/>
                <c:pt idx="0">
                  <c:v>0.3</c:v>
                </c:pt>
                <c:pt idx="1">
                  <c:v>0.56000000000000005</c:v>
                </c:pt>
                <c:pt idx="2">
                  <c:v>0.2</c:v>
                </c:pt>
                <c:pt idx="3">
                  <c:v>0.35</c:v>
                </c:pt>
                <c:pt idx="4">
                  <c:v>0.33</c:v>
                </c:pt>
                <c:pt idx="5">
                  <c:v>0.35</c:v>
                </c:pt>
                <c:pt idx="6">
                  <c:v>0.33</c:v>
                </c:pt>
                <c:pt idx="7">
                  <c:v>0.5</c:v>
                </c:pt>
                <c:pt idx="8">
                  <c:v>0.4</c:v>
                </c:pt>
                <c:pt idx="9">
                  <c:v>0.27</c:v>
                </c:pt>
                <c:pt idx="10">
                  <c:v>0.28000000000000003</c:v>
                </c:pt>
                <c:pt idx="11">
                  <c:v>0.6</c:v>
                </c:pt>
                <c:pt idx="12">
                  <c:v>0.2</c:v>
                </c:pt>
                <c:pt idx="13">
                  <c:v>0.32</c:v>
                </c:pt>
                <c:pt idx="14">
                  <c:v>0.22</c:v>
                </c:pt>
                <c:pt idx="15">
                  <c:v>0.3</c:v>
                </c:pt>
                <c:pt idx="16">
                  <c:v>0.36</c:v>
                </c:pt>
                <c:pt idx="17">
                  <c:v>0.31</c:v>
                </c:pt>
                <c:pt idx="18">
                  <c:v>0.28999999999999998</c:v>
                </c:pt>
                <c:pt idx="19">
                  <c:v>0.23</c:v>
                </c:pt>
                <c:pt idx="20">
                  <c:v>0.31</c:v>
                </c:pt>
                <c:pt idx="21">
                  <c:v>0.24</c:v>
                </c:pt>
                <c:pt idx="22">
                  <c:v>0.45</c:v>
                </c:pt>
                <c:pt idx="23">
                  <c:v>0.44</c:v>
                </c:pt>
              </c:numCache>
            </c:numRef>
          </c:xVal>
          <c:yVal>
            <c:numRef>
              <c:f>Переменные!$R$28:$R$51</c:f>
              <c:numCache>
                <c:formatCode>General</c:formatCode>
                <c:ptCount val="24"/>
                <c:pt idx="0">
                  <c:v>0.48</c:v>
                </c:pt>
                <c:pt idx="1">
                  <c:v>0.36</c:v>
                </c:pt>
                <c:pt idx="2">
                  <c:v>0.57999999999999996</c:v>
                </c:pt>
                <c:pt idx="3">
                  <c:v>0.46</c:v>
                </c:pt>
                <c:pt idx="4">
                  <c:v>0.5</c:v>
                </c:pt>
                <c:pt idx="5">
                  <c:v>0.48</c:v>
                </c:pt>
                <c:pt idx="6">
                  <c:v>0.54</c:v>
                </c:pt>
                <c:pt idx="7">
                  <c:v>0.36</c:v>
                </c:pt>
                <c:pt idx="8">
                  <c:v>0.45</c:v>
                </c:pt>
                <c:pt idx="9">
                  <c:v>0.47</c:v>
                </c:pt>
                <c:pt idx="10">
                  <c:v>0.49</c:v>
                </c:pt>
                <c:pt idx="11">
                  <c:v>0.39</c:v>
                </c:pt>
                <c:pt idx="12">
                  <c:v>0.5</c:v>
                </c:pt>
                <c:pt idx="13">
                  <c:v>0.49</c:v>
                </c:pt>
                <c:pt idx="14">
                  <c:v>0.48</c:v>
                </c:pt>
                <c:pt idx="15">
                  <c:v>0.47</c:v>
                </c:pt>
                <c:pt idx="16">
                  <c:v>0.49</c:v>
                </c:pt>
                <c:pt idx="17">
                  <c:v>0.46</c:v>
                </c:pt>
                <c:pt idx="18">
                  <c:v>0.47</c:v>
                </c:pt>
                <c:pt idx="19">
                  <c:v>0.48</c:v>
                </c:pt>
                <c:pt idx="20">
                  <c:v>0.45</c:v>
                </c:pt>
                <c:pt idx="21">
                  <c:v>0.49</c:v>
                </c:pt>
                <c:pt idx="22">
                  <c:v>0.46</c:v>
                </c:pt>
                <c:pt idx="23">
                  <c:v>0.43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5-42B5-8BE3-530DCDADB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63023"/>
        <c:axId val="831766767"/>
      </c:scatterChart>
      <c:valAx>
        <c:axId val="831763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66767"/>
        <c:crosses val="autoZero"/>
        <c:crossBetween val="midCat"/>
      </c:valAx>
      <c:valAx>
        <c:axId val="831766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63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847725</xdr:colOff>
          <xdr:row>0</xdr:row>
          <xdr:rowOff>104775</xdr:rowOff>
        </xdr:from>
        <xdr:to>
          <xdr:col>4</xdr:col>
          <xdr:colOff>381000</xdr:colOff>
          <xdr:row>0</xdr:row>
          <xdr:rowOff>428625</xdr:rowOff>
        </xdr:to>
        <xdr:sp macro="" textlink="">
          <xdr:nvSpPr>
            <xdr:cNvPr id="5121" name="Run_Doc_Filler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190500</xdr:colOff>
          <xdr:row>0</xdr:row>
          <xdr:rowOff>104775</xdr:rowOff>
        </xdr:from>
        <xdr:to>
          <xdr:col>6</xdr:col>
          <xdr:colOff>571500</xdr:colOff>
          <xdr:row>0</xdr:row>
          <xdr:rowOff>428625</xdr:rowOff>
        </xdr:to>
        <xdr:sp macro="" textlink="">
          <xdr:nvSpPr>
            <xdr:cNvPr id="5122" name="show_10_col_until_10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628650</xdr:colOff>
          <xdr:row>0</xdr:row>
          <xdr:rowOff>104775</xdr:rowOff>
        </xdr:from>
        <xdr:to>
          <xdr:col>6</xdr:col>
          <xdr:colOff>1000125</xdr:colOff>
          <xdr:row>0</xdr:row>
          <xdr:rowOff>428625</xdr:rowOff>
        </xdr:to>
        <xdr:sp macro="" textlink="">
          <xdr:nvSpPr>
            <xdr:cNvPr id="5123" name="show_10_col_until_20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1038225</xdr:colOff>
          <xdr:row>0</xdr:row>
          <xdr:rowOff>104775</xdr:rowOff>
        </xdr:from>
        <xdr:to>
          <xdr:col>7</xdr:col>
          <xdr:colOff>123825</xdr:colOff>
          <xdr:row>0</xdr:row>
          <xdr:rowOff>428625</xdr:rowOff>
        </xdr:to>
        <xdr:sp macro="" textlink="">
          <xdr:nvSpPr>
            <xdr:cNvPr id="5124" name="show_10_col_until_30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152400</xdr:colOff>
          <xdr:row>0</xdr:row>
          <xdr:rowOff>104775</xdr:rowOff>
        </xdr:from>
        <xdr:to>
          <xdr:col>7</xdr:col>
          <xdr:colOff>542925</xdr:colOff>
          <xdr:row>0</xdr:row>
          <xdr:rowOff>428625</xdr:rowOff>
        </xdr:to>
        <xdr:sp macro="" textlink="">
          <xdr:nvSpPr>
            <xdr:cNvPr id="5125" name="show_10_col_until_4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590550</xdr:colOff>
          <xdr:row>0</xdr:row>
          <xdr:rowOff>104775</xdr:rowOff>
        </xdr:from>
        <xdr:to>
          <xdr:col>8</xdr:col>
          <xdr:colOff>219075</xdr:colOff>
          <xdr:row>0</xdr:row>
          <xdr:rowOff>428625</xdr:rowOff>
        </xdr:to>
        <xdr:sp macro="" textlink="">
          <xdr:nvSpPr>
            <xdr:cNvPr id="5126" name="show_10_col_until_50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866775</xdr:colOff>
          <xdr:row>0</xdr:row>
          <xdr:rowOff>104775</xdr:rowOff>
        </xdr:from>
        <xdr:to>
          <xdr:col>6</xdr:col>
          <xdr:colOff>152400</xdr:colOff>
          <xdr:row>0</xdr:row>
          <xdr:rowOff>428625</xdr:rowOff>
        </xdr:to>
        <xdr:sp macro="" textlink="">
          <xdr:nvSpPr>
            <xdr:cNvPr id="5127" name="show_all_col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428625</xdr:colOff>
          <xdr:row>0</xdr:row>
          <xdr:rowOff>104775</xdr:rowOff>
        </xdr:from>
        <xdr:to>
          <xdr:col>5</xdr:col>
          <xdr:colOff>447675</xdr:colOff>
          <xdr:row>0</xdr:row>
          <xdr:rowOff>428625</xdr:rowOff>
        </xdr:to>
        <xdr:sp macro="" textlink="">
          <xdr:nvSpPr>
            <xdr:cNvPr id="5128" name="Open_Template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22</xdr:col>
      <xdr:colOff>123825</xdr:colOff>
      <xdr:row>3</xdr:row>
      <xdr:rowOff>47625</xdr:rowOff>
    </xdr:from>
    <xdr:to>
      <xdr:col>25</xdr:col>
      <xdr:colOff>952500</xdr:colOff>
      <xdr:row>21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0</xdr:row>
          <xdr:rowOff>95250</xdr:rowOff>
        </xdr:from>
        <xdr:to>
          <xdr:col>2</xdr:col>
          <xdr:colOff>1552575</xdr:colOff>
          <xdr:row>0</xdr:row>
          <xdr:rowOff>419100</xdr:rowOff>
        </xdr:to>
        <xdr:sp macro="" textlink="">
          <xdr:nvSpPr>
            <xdr:cNvPr id="10241" name="Run_Doc_Filler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1600200</xdr:colOff>
          <xdr:row>0</xdr:row>
          <xdr:rowOff>95250</xdr:rowOff>
        </xdr:from>
        <xdr:to>
          <xdr:col>3</xdr:col>
          <xdr:colOff>333375</xdr:colOff>
          <xdr:row>0</xdr:row>
          <xdr:rowOff>419100</xdr:rowOff>
        </xdr:to>
        <xdr:sp macro="" textlink="">
          <xdr:nvSpPr>
            <xdr:cNvPr id="10242" name="Open_Template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Переменные" displayName="Переменные" ref="A3:V51" totalsRowShown="0" headerRowDxfId="49" dataDxfId="48">
  <autoFilter ref="A3:V51"/>
  <tableColumns count="22">
    <tableColumn id="6" name="*ID*" dataDxfId="47">
      <calculatedColumnFormula>Переменные[[#This Row],[TestReportID]]</calculatedColumnFormula>
    </tableColumn>
    <tableColumn id="16" name="*Экспортировать*" dataDxfId="46">
      <calculatedColumnFormula>"да"</calculatedColumnFormula>
    </tableColumn>
    <tableColumn id="4" name="*Имя шаблона*" dataDxfId="45">
      <calculatedColumnFormula>template_name</calculatedColumnFormula>
    </tableColumn>
    <tableColumn id="7" name="*Сегодня*" dataDxfId="44">
      <calculatedColumnFormula>TODAY()</calculatedColumnFormula>
    </tableColumn>
    <tableColumn id="13" name="*Сегодня2*" dataDxfId="43">
      <calculatedColumnFormula>TEXT(TODAY(), "ГГГГ-ММ-ДД")</calculatedColumnFormula>
    </tableColumn>
    <tableColumn id="15" name="*Спецсимволы*" dataDxfId="42">
      <calculatedColumnFormula>" ☑  ☐  ☒ "</calculatedColumnFormula>
    </tableColumn>
    <tableColumn id="9" name="TestReportID" dataDxfId="41">
      <calculatedColumnFormula>"TR_OQ_SMP_"&amp;Переменные[[#This Row],[DUT id]]</calculatedColumnFormula>
    </tableColumn>
    <tableColumn id="20" name="Place" dataDxfId="40"/>
    <tableColumn id="21" name="Date" dataDxfId="39"/>
    <tableColumn id="22" name="Temperature" dataDxfId="38"/>
    <tableColumn id="23" name="Humidity" dataDxfId="37"/>
    <tableColumn id="24" name="Eq_1_id" dataDxfId="36"/>
    <tableColumn id="25" name="Eq_1_model" dataDxfId="35"/>
    <tableColumn id="26" name="DUT type" dataDxfId="34"/>
    <tableColumn id="27" name="DUT id" dataDxfId="33"/>
    <tableColumn id="5" name="cl_val" dataDxfId="32"/>
    <tableColumn id="28" name="dh_val" dataDxfId="31"/>
    <tableColumn id="29" name="ml_val" dataDxfId="30"/>
    <tableColumn id="30" name="md_val" dataDxfId="29"/>
    <tableColumn id="31" name="gl_val" dataDxfId="28"/>
    <tableColumn id="2" name="gw_val" dataDxfId="27"/>
    <tableColumn id="3" name="glend_val" dataDxfId="26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3" name="Переменные_таблиц" displayName="Переменные_таблиц" ref="A3:F6" totalsRowShown="0" headerRowDxfId="25" dataDxfId="24">
  <autoFilter ref="A3:F6"/>
  <tableColumns count="6">
    <tableColumn id="6" name="№" dataDxfId="23">
      <calculatedColumnFormula array="1">ROW()-ROW(Переменные_таблиц[#Headers])</calculatedColumnFormula>
    </tableColumn>
    <tableColumn id="4" name="Имя переменной таблицы" dataDxfId="22"/>
    <tableColumn id="13" name="Название таблицы" dataDxfId="21"/>
    <tableColumn id="7" name="Лист таблицы" dataDxfId="20"/>
    <tableColumn id="1" name="Вставлять в Word целиком" dataDxfId="19"/>
    <tableColumn id="2" name="Копировать заголовок таблицы" dataDxfId="18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id="2" name="Спецификация" displayName="Спецификация" ref="A5:F50" totalsRowShown="0" headerRowDxfId="17" dataDxfId="16">
  <autoFilter ref="A5:F50"/>
  <tableColumns count="6">
    <tableColumn id="1" name="ID" dataDxfId="15"/>
    <tableColumn id="6" name="Производитель" dataDxfId="14">
      <calculatedColumnFormula>"П" &amp;Спецификация[[#This Row],[ID]]</calculatedColumnFormula>
    </tableColumn>
    <tableColumn id="2" name="Артикул" dataDxfId="13">
      <calculatedColumnFormula>"А"&amp;Спецификация[[#This Row],[ID]]</calculatedColumnFormula>
    </tableColumn>
    <tableColumn id="3" name="Наименование" dataDxfId="12">
      <calculatedColumnFormula>"Н"&amp;Спецификация[[#This Row],[ID]]</calculatedColumnFormula>
    </tableColumn>
    <tableColumn id="4" name="Ед. изм." dataDxfId="11">
      <calculatedColumnFormula>"Е"&amp;Спецификация[[#This Row],[ID]]</calculatedColumnFormula>
    </tableColumn>
    <tableColumn id="5" name="Кол-во, шт" dataDxfId="10">
      <calculatedColumnFormula>"К"&amp;Спецификация[[#This Row],[ID]]</calculatedColumnFormula>
    </tableColumn>
  </tableColumns>
  <tableStyleInfo name="TableStyleMedium17" showFirstColumn="0" showLastColumn="0" showRowStripes="1" showColumnStripes="0"/>
</table>
</file>

<file path=xl/tables/table4.xml><?xml version="1.0" encoding="utf-8"?>
<table xmlns="http://schemas.openxmlformats.org/spreadsheetml/2006/main" id="8" name="Test1" displayName="Test1" ref="A5:C35" totalsRowShown="0" headerRowDxfId="9" dataDxfId="8">
  <autoFilter ref="A5:C35"/>
  <tableColumns count="3">
    <tableColumn id="1" name="ID" dataDxfId="7"/>
    <tableColumn id="2" name="TEST11" dataDxfId="6"/>
    <tableColumn id="3" name="TEST12" dataDxfId="5"/>
  </tableColumns>
  <tableStyleInfo name="TableStyleLight15" showFirstColumn="0" showLastColumn="0" showRowStripes="0" showColumnStripes="0"/>
</table>
</file>

<file path=xl/tables/table5.xml><?xml version="1.0" encoding="utf-8"?>
<table xmlns="http://schemas.openxmlformats.org/spreadsheetml/2006/main" id="13" name="Test2" displayName="Test2" ref="A5:C35" totalsRowShown="0" headerRowDxfId="4" dataDxfId="3">
  <autoFilter ref="A5:C35"/>
  <tableColumns count="3">
    <tableColumn id="1" name="ID" dataDxfId="2"/>
    <tableColumn id="2" name="TEST21" dataDxfId="1"/>
    <tableColumn id="3" name="TEST22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omments" Target="../comments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Settings">
    <tabColor theme="0" tint="-0.249977111117893"/>
  </sheetPr>
  <dimension ref="A1:B14"/>
  <sheetViews>
    <sheetView zoomScale="130" zoomScaleNormal="130" workbookViewId="0">
      <selection activeCell="B22" sqref="B22"/>
    </sheetView>
  </sheetViews>
  <sheetFormatPr defaultRowHeight="15" x14ac:dyDescent="0.25"/>
  <cols>
    <col min="1" max="1" width="46.85546875" customWidth="1"/>
    <col min="2" max="2" width="65.7109375" customWidth="1"/>
  </cols>
  <sheetData>
    <row r="1" spans="1:2" s="14" customFormat="1" ht="39.950000000000003" customHeight="1" x14ac:dyDescent="0.25">
      <c r="A1" s="13" t="s">
        <v>165</v>
      </c>
    </row>
    <row r="3" spans="1:2" x14ac:dyDescent="0.25">
      <c r="A3" s="12" t="s">
        <v>0</v>
      </c>
      <c r="B3" s="5" t="s">
        <v>13</v>
      </c>
    </row>
    <row r="4" spans="1:2" x14ac:dyDescent="0.25">
      <c r="A4" s="12" t="s">
        <v>1</v>
      </c>
      <c r="B4" s="16" t="s">
        <v>244</v>
      </c>
    </row>
    <row r="5" spans="1:2" x14ac:dyDescent="0.25">
      <c r="A5" s="12" t="s">
        <v>4</v>
      </c>
      <c r="B5" s="17" t="s">
        <v>179</v>
      </c>
    </row>
    <row r="6" spans="1:2" x14ac:dyDescent="0.25">
      <c r="A6" s="12" t="s">
        <v>2</v>
      </c>
      <c r="B6" s="16" t="s">
        <v>250</v>
      </c>
    </row>
    <row r="7" spans="1:2" x14ac:dyDescent="0.25">
      <c r="A7" s="12" t="s">
        <v>5</v>
      </c>
      <c r="B7" s="17" t="s">
        <v>174</v>
      </c>
    </row>
    <row r="8" spans="1:2" x14ac:dyDescent="0.25">
      <c r="A8" s="12" t="s">
        <v>3</v>
      </c>
      <c r="B8" s="17" t="s">
        <v>162</v>
      </c>
    </row>
    <row r="9" spans="1:2" x14ac:dyDescent="0.25">
      <c r="A9" s="12" t="s">
        <v>170</v>
      </c>
      <c r="B9" s="17" t="b">
        <v>0</v>
      </c>
    </row>
    <row r="10" spans="1:2" x14ac:dyDescent="0.25">
      <c r="A10" s="12" t="s">
        <v>171</v>
      </c>
      <c r="B10" s="17" t="b">
        <v>0</v>
      </c>
    </row>
    <row r="11" spans="1:2" x14ac:dyDescent="0.25">
      <c r="A11" s="12" t="s">
        <v>143</v>
      </c>
      <c r="B11" s="17" t="s">
        <v>177</v>
      </c>
    </row>
    <row r="12" spans="1:2" x14ac:dyDescent="0.25">
      <c r="A12" s="12" t="s">
        <v>153</v>
      </c>
      <c r="B12" s="17" t="b">
        <v>0</v>
      </c>
    </row>
    <row r="13" spans="1:2" x14ac:dyDescent="0.25">
      <c r="A13" s="12" t="s">
        <v>154</v>
      </c>
      <c r="B13" s="17" t="s">
        <v>178</v>
      </c>
    </row>
    <row r="14" spans="1:2" x14ac:dyDescent="0.25">
      <c r="A14" s="12" t="s">
        <v>164</v>
      </c>
      <c r="B14" s="17" t="s">
        <v>166</v>
      </c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Variables">
    <tabColor rgb="FF0070C0"/>
  </sheetPr>
  <dimension ref="A1:V72"/>
  <sheetViews>
    <sheetView tabSelected="1" topLeftCell="E1" zoomScale="115" zoomScaleNormal="115" workbookViewId="0">
      <pane ySplit="3" topLeftCell="A26" activePane="bottomLeft" state="frozen"/>
      <selection pane="bottomLeft" activeCell="P52" sqref="P52"/>
    </sheetView>
  </sheetViews>
  <sheetFormatPr defaultColWidth="18.7109375" defaultRowHeight="15" x14ac:dyDescent="0.25"/>
  <cols>
    <col min="1" max="1" width="18.42578125" style="23" customWidth="1"/>
    <col min="2" max="2" width="15" style="30" customWidth="1"/>
    <col min="3" max="3" width="15.42578125" style="23" customWidth="1"/>
    <col min="4" max="4" width="14.42578125" style="33" customWidth="1"/>
    <col min="5" max="5" width="18.7109375" style="30" customWidth="1"/>
    <col min="6" max="6" width="16.42578125" style="23" customWidth="1"/>
    <col min="7" max="7" width="19.42578125" style="18" customWidth="1"/>
    <col min="8" max="8" width="11.28515625" style="18" customWidth="1"/>
    <col min="9" max="9" width="8.7109375" style="18" bestFit="1" customWidth="1"/>
    <col min="10" max="10" width="14.28515625" style="18" bestFit="1" customWidth="1"/>
    <col min="11" max="11" width="11.7109375" style="18" bestFit="1" customWidth="1"/>
    <col min="12" max="12" width="10.7109375" style="18" bestFit="1" customWidth="1"/>
    <col min="13" max="13" width="13.7109375" style="18" bestFit="1" customWidth="1"/>
    <col min="14" max="14" width="13.7109375" style="18" customWidth="1"/>
    <col min="15" max="15" width="18.7109375" style="18" customWidth="1"/>
    <col min="16" max="16" width="8.5703125" style="18" customWidth="1"/>
    <col min="17" max="18" width="9.85546875" style="18" bestFit="1" customWidth="1"/>
    <col min="19" max="19" width="10.28515625" style="18" bestFit="1" customWidth="1"/>
    <col min="20" max="20" width="9.28515625" style="18" bestFit="1" customWidth="1"/>
    <col min="21" max="21" width="10.7109375" style="18" bestFit="1" customWidth="1"/>
    <col min="22" max="22" width="12.42578125" style="18" bestFit="1" customWidth="1"/>
    <col min="23" max="41" width="18.7109375" style="18" customWidth="1"/>
    <col min="42" max="16384" width="18.7109375" style="18"/>
  </cols>
  <sheetData>
    <row r="1" spans="1:22" s="2" customFormat="1" ht="39.950000000000003" customHeight="1" x14ac:dyDescent="0.25">
      <c r="A1" s="27" t="s">
        <v>15</v>
      </c>
      <c r="B1" s="34"/>
      <c r="C1" s="27"/>
      <c r="D1" s="37"/>
      <c r="E1" s="34"/>
      <c r="F1" s="27"/>
    </row>
    <row r="2" spans="1:22" s="1" customFormat="1" x14ac:dyDescent="0.25">
      <c r="A2" s="8"/>
      <c r="B2" s="26"/>
      <c r="C2" s="8"/>
      <c r="D2" s="29"/>
      <c r="E2" s="26"/>
      <c r="F2" s="8"/>
    </row>
    <row r="3" spans="1:22" s="20" customFormat="1" ht="12.75" thickBot="1" x14ac:dyDescent="0.25">
      <c r="A3" s="28" t="s">
        <v>162</v>
      </c>
      <c r="B3" s="28" t="s">
        <v>173</v>
      </c>
      <c r="C3" s="26" t="s">
        <v>4</v>
      </c>
      <c r="D3" s="29" t="s">
        <v>6</v>
      </c>
      <c r="E3" s="26" t="s">
        <v>172</v>
      </c>
      <c r="F3" s="26" t="s">
        <v>167</v>
      </c>
      <c r="G3" s="26" t="s">
        <v>180</v>
      </c>
      <c r="H3" s="26" t="s">
        <v>231</v>
      </c>
      <c r="I3" s="26" t="s">
        <v>232</v>
      </c>
      <c r="J3" s="26" t="s">
        <v>233</v>
      </c>
      <c r="K3" s="26" t="s">
        <v>234</v>
      </c>
      <c r="L3" s="26" t="s">
        <v>235</v>
      </c>
      <c r="M3" s="26" t="s">
        <v>236</v>
      </c>
      <c r="N3" s="26" t="s">
        <v>237</v>
      </c>
      <c r="O3" s="26" t="s">
        <v>238</v>
      </c>
      <c r="P3" s="26" t="s">
        <v>249</v>
      </c>
      <c r="Q3" s="26" t="s">
        <v>239</v>
      </c>
      <c r="R3" s="26" t="s">
        <v>240</v>
      </c>
      <c r="S3" s="26" t="s">
        <v>241</v>
      </c>
      <c r="T3" s="26" t="s">
        <v>242</v>
      </c>
      <c r="U3" s="20" t="s">
        <v>246</v>
      </c>
      <c r="V3" s="20" t="s">
        <v>247</v>
      </c>
    </row>
    <row r="4" spans="1:22" s="23" customFormat="1" ht="12" thickBot="1" x14ac:dyDescent="0.25">
      <c r="A4" s="19" t="str">
        <f>Переменные[[#This Row],[TestReportID]]</f>
        <v>TR_OQ_SMP_02_6_1</v>
      </c>
      <c r="B4" s="30" t="str">
        <f t="shared" ref="B4:B6" si="0">"да"</f>
        <v>да</v>
      </c>
      <c r="C4" s="23" t="str">
        <f t="shared" ref="C4:C5" si="1">template_name</f>
        <v>Val_2 OQ Sample parameters report template</v>
      </c>
      <c r="D4" s="33">
        <v>45793</v>
      </c>
      <c r="E4" s="30" t="str">
        <f t="shared" ref="E4:E5" ca="1" si="2">TEXT(TODAY(), "ГГГГ-ММ-ДД")</f>
        <v>2025-05-23</v>
      </c>
      <c r="F4" s="23" t="str">
        <f t="shared" ref="F4:F5" si="3">" ☑  ☐  ☒ "</f>
        <v xml:space="preserve"> ☑  ☐  ☒ </v>
      </c>
      <c r="G4" s="32" t="str">
        <f>"TR_OQ_SMP_"&amp;Переменные[[#This Row],[DUT id]]</f>
        <v>TR_OQ_SMP_02_6_1</v>
      </c>
      <c r="H4" s="30" t="s">
        <v>248</v>
      </c>
      <c r="I4" s="33">
        <v>45800</v>
      </c>
      <c r="J4" s="30">
        <v>22</v>
      </c>
      <c r="K4" s="30">
        <v>67</v>
      </c>
      <c r="L4" s="30" t="s">
        <v>245</v>
      </c>
      <c r="M4" s="30" t="s">
        <v>243</v>
      </c>
      <c r="N4" s="30" t="s">
        <v>181</v>
      </c>
      <c r="O4" s="31" t="s">
        <v>222</v>
      </c>
      <c r="P4" s="31">
        <v>9.73</v>
      </c>
      <c r="Q4" s="30">
        <v>0.3</v>
      </c>
      <c r="R4" s="30">
        <v>0.41</v>
      </c>
      <c r="S4" s="30">
        <v>1.19</v>
      </c>
      <c r="T4" s="30">
        <v>5.82</v>
      </c>
      <c r="U4" s="35">
        <v>2.17</v>
      </c>
      <c r="V4" s="35">
        <v>1.49</v>
      </c>
    </row>
    <row r="5" spans="1:22" s="23" customFormat="1" ht="12" thickBot="1" x14ac:dyDescent="0.25">
      <c r="A5" s="19" t="str">
        <f>Переменные[[#This Row],[TestReportID]]</f>
        <v>TR_OQ_SMP_02_6_2</v>
      </c>
      <c r="B5" s="30" t="str">
        <f t="shared" si="0"/>
        <v>да</v>
      </c>
      <c r="C5" s="23" t="str">
        <f t="shared" si="1"/>
        <v>Val_2 OQ Sample parameters report template</v>
      </c>
      <c r="D5" s="33">
        <v>45793</v>
      </c>
      <c r="E5" s="30" t="str">
        <f t="shared" ca="1" si="2"/>
        <v>2025-05-23</v>
      </c>
      <c r="F5" s="23" t="str">
        <f t="shared" si="3"/>
        <v xml:space="preserve"> ☑  ☐  ☒ </v>
      </c>
      <c r="G5" s="32" t="str">
        <f>"TR_OQ_SMP_"&amp;Переменные[[#This Row],[DUT id]]</f>
        <v>TR_OQ_SMP_02_6_2</v>
      </c>
      <c r="H5" s="30" t="s">
        <v>248</v>
      </c>
      <c r="I5" s="33">
        <v>45800</v>
      </c>
      <c r="J5" s="30">
        <v>22</v>
      </c>
      <c r="K5" s="30">
        <v>67</v>
      </c>
      <c r="L5" s="30" t="s">
        <v>245</v>
      </c>
      <c r="M5" s="30" t="s">
        <v>243</v>
      </c>
      <c r="N5" s="30" t="s">
        <v>181</v>
      </c>
      <c r="O5" s="31" t="s">
        <v>223</v>
      </c>
      <c r="P5" s="31">
        <v>9.77</v>
      </c>
      <c r="Q5" s="30">
        <v>0.32</v>
      </c>
      <c r="R5" s="30">
        <v>0.4</v>
      </c>
      <c r="S5" s="30">
        <v>1.2</v>
      </c>
      <c r="T5" s="30">
        <v>5.8</v>
      </c>
      <c r="U5" s="35">
        <v>2.08</v>
      </c>
      <c r="V5" s="35">
        <v>1.48</v>
      </c>
    </row>
    <row r="6" spans="1:22" s="23" customFormat="1" ht="12" thickBot="1" x14ac:dyDescent="0.25">
      <c r="A6" s="19" t="str">
        <f>Переменные[[#This Row],[TestReportID]]</f>
        <v>TR_OQ_SMP_02_6_3</v>
      </c>
      <c r="B6" s="30" t="str">
        <f t="shared" si="0"/>
        <v>да</v>
      </c>
      <c r="C6" s="23" t="str">
        <f t="shared" ref="C6:C13" si="4">template_name</f>
        <v>Val_2 OQ Sample parameters report template</v>
      </c>
      <c r="D6" s="33">
        <v>45793</v>
      </c>
      <c r="E6" s="30" t="str">
        <f t="shared" ref="E6:E13" ca="1" si="5">TEXT(TODAY(), "ГГГГ-ММ-ДД")</f>
        <v>2025-05-23</v>
      </c>
      <c r="F6" s="23" t="str">
        <f t="shared" ref="F6:F13" si="6">" ☑  ☐  ☒ "</f>
        <v xml:space="preserve"> ☑  ☐  ☒ </v>
      </c>
      <c r="G6" s="32" t="str">
        <f>"TR_OQ_SMP_"&amp;Переменные[[#This Row],[DUT id]]</f>
        <v>TR_OQ_SMP_02_6_3</v>
      </c>
      <c r="H6" s="30" t="s">
        <v>248</v>
      </c>
      <c r="I6" s="33">
        <v>45800</v>
      </c>
      <c r="J6" s="30">
        <v>22</v>
      </c>
      <c r="K6" s="30">
        <v>67</v>
      </c>
      <c r="L6" s="30" t="s">
        <v>245</v>
      </c>
      <c r="M6" s="30" t="s">
        <v>243</v>
      </c>
      <c r="N6" s="30" t="s">
        <v>181</v>
      </c>
      <c r="O6" s="31" t="s">
        <v>224</v>
      </c>
      <c r="P6" s="31">
        <v>9.77</v>
      </c>
      <c r="Q6" s="30">
        <v>0.35</v>
      </c>
      <c r="R6" s="30">
        <v>0.35</v>
      </c>
      <c r="S6" s="30">
        <v>1.2</v>
      </c>
      <c r="T6" s="30">
        <v>5.92</v>
      </c>
      <c r="U6" s="35">
        <v>1.98</v>
      </c>
      <c r="V6" s="35">
        <v>1.54</v>
      </c>
    </row>
    <row r="7" spans="1:22" s="23" customFormat="1" ht="12" thickBot="1" x14ac:dyDescent="0.25">
      <c r="A7" s="19" t="str">
        <f>Переменные[[#This Row],[TestReportID]]</f>
        <v>TR_OQ_SMP_02_2_1</v>
      </c>
      <c r="B7" s="30" t="str">
        <f t="shared" ref="B7:B13" si="7">"да"</f>
        <v>да</v>
      </c>
      <c r="C7" s="23" t="str">
        <f t="shared" si="4"/>
        <v>Val_2 OQ Sample parameters report template</v>
      </c>
      <c r="D7" s="33">
        <v>45793</v>
      </c>
      <c r="E7" s="30" t="str">
        <f t="shared" ca="1" si="5"/>
        <v>2025-05-23</v>
      </c>
      <c r="F7" s="23" t="str">
        <f t="shared" si="6"/>
        <v xml:space="preserve"> ☑  ☐  ☒ </v>
      </c>
      <c r="G7" s="32" t="str">
        <f>"TR_OQ_SMP_"&amp;Переменные[[#This Row],[DUT id]]</f>
        <v>TR_OQ_SMP_02_2_1</v>
      </c>
      <c r="H7" s="30" t="s">
        <v>248</v>
      </c>
      <c r="I7" s="33">
        <v>45800</v>
      </c>
      <c r="J7" s="30">
        <v>22</v>
      </c>
      <c r="K7" s="30">
        <v>67</v>
      </c>
      <c r="L7" s="30" t="s">
        <v>245</v>
      </c>
      <c r="M7" s="30" t="s">
        <v>243</v>
      </c>
      <c r="N7" s="30" t="s">
        <v>181</v>
      </c>
      <c r="O7" s="31" t="s">
        <v>225</v>
      </c>
      <c r="P7" s="31">
        <v>9.7200000000000006</v>
      </c>
      <c r="Q7" s="30">
        <v>0.44</v>
      </c>
      <c r="R7" s="30">
        <v>0.33</v>
      </c>
      <c r="S7" s="30">
        <v>1.2</v>
      </c>
      <c r="T7" s="30">
        <v>5.86</v>
      </c>
      <c r="U7" s="35">
        <v>2.02</v>
      </c>
      <c r="V7" s="35">
        <v>1.67</v>
      </c>
    </row>
    <row r="8" spans="1:22" s="23" customFormat="1" ht="12" thickBot="1" x14ac:dyDescent="0.25">
      <c r="A8" s="19" t="str">
        <f>Переменные[[#This Row],[TestReportID]]</f>
        <v>TR_OQ_SMP_02_2_2</v>
      </c>
      <c r="B8" s="30" t="str">
        <f t="shared" si="7"/>
        <v>да</v>
      </c>
      <c r="C8" s="23" t="str">
        <f t="shared" si="4"/>
        <v>Val_2 OQ Sample parameters report template</v>
      </c>
      <c r="D8" s="33">
        <v>45793</v>
      </c>
      <c r="E8" s="30" t="str">
        <f t="shared" ca="1" si="5"/>
        <v>2025-05-23</v>
      </c>
      <c r="F8" s="23" t="str">
        <f t="shared" si="6"/>
        <v xml:space="preserve"> ☑  ☐  ☒ </v>
      </c>
      <c r="G8" s="32" t="str">
        <f>"TR_OQ_SMP_"&amp;Переменные[[#This Row],[DUT id]]</f>
        <v>TR_OQ_SMP_02_2_2</v>
      </c>
      <c r="H8" s="30" t="s">
        <v>248</v>
      </c>
      <c r="I8" s="33">
        <v>45800</v>
      </c>
      <c r="J8" s="30">
        <v>22</v>
      </c>
      <c r="K8" s="30">
        <v>67</v>
      </c>
      <c r="L8" s="30" t="s">
        <v>245</v>
      </c>
      <c r="M8" s="30" t="s">
        <v>243</v>
      </c>
      <c r="N8" s="30" t="s">
        <v>181</v>
      </c>
      <c r="O8" s="31" t="s">
        <v>226</v>
      </c>
      <c r="P8" s="31">
        <v>9.7799999999999994</v>
      </c>
      <c r="Q8" s="30">
        <v>0.33</v>
      </c>
      <c r="R8" s="30">
        <v>0.43</v>
      </c>
      <c r="S8" s="30">
        <v>1.2</v>
      </c>
      <c r="T8" s="30">
        <v>5.86</v>
      </c>
      <c r="U8" s="35">
        <v>2.12</v>
      </c>
      <c r="V8" s="35">
        <v>1.66</v>
      </c>
    </row>
    <row r="9" spans="1:22" s="23" customFormat="1" ht="12" thickBot="1" x14ac:dyDescent="0.25">
      <c r="A9" s="19" t="str">
        <f>Переменные[[#This Row],[TestReportID]]</f>
        <v>TR_OQ_SMP_02_2_3</v>
      </c>
      <c r="B9" s="30" t="str">
        <f t="shared" si="7"/>
        <v>да</v>
      </c>
      <c r="C9" s="23" t="str">
        <f t="shared" si="4"/>
        <v>Val_2 OQ Sample parameters report template</v>
      </c>
      <c r="D9" s="33">
        <v>45793</v>
      </c>
      <c r="E9" s="30" t="str">
        <f t="shared" ca="1" si="5"/>
        <v>2025-05-23</v>
      </c>
      <c r="F9" s="23" t="str">
        <f t="shared" si="6"/>
        <v xml:space="preserve"> ☑  ☐  ☒ </v>
      </c>
      <c r="G9" s="32" t="str">
        <f>"TR_OQ_SMP_"&amp;Переменные[[#This Row],[DUT id]]</f>
        <v>TR_OQ_SMP_02_2_3</v>
      </c>
      <c r="H9" s="30" t="s">
        <v>248</v>
      </c>
      <c r="I9" s="33">
        <v>45800</v>
      </c>
      <c r="J9" s="30">
        <v>22</v>
      </c>
      <c r="K9" s="30">
        <v>67</v>
      </c>
      <c r="L9" s="30" t="s">
        <v>245</v>
      </c>
      <c r="M9" s="30" t="s">
        <v>243</v>
      </c>
      <c r="N9" s="30" t="s">
        <v>181</v>
      </c>
      <c r="O9" s="31" t="s">
        <v>227</v>
      </c>
      <c r="P9" s="31">
        <v>9.7799999999999994</v>
      </c>
      <c r="Q9" s="30">
        <v>0.3</v>
      </c>
      <c r="R9" s="30">
        <v>0.45</v>
      </c>
      <c r="S9" s="30">
        <v>1.2</v>
      </c>
      <c r="T9" s="30">
        <v>5.67</v>
      </c>
      <c r="U9" s="35">
        <v>2.2200000000000002</v>
      </c>
      <c r="V9" s="35">
        <v>1.62</v>
      </c>
    </row>
    <row r="10" spans="1:22" s="23" customFormat="1" ht="12" thickBot="1" x14ac:dyDescent="0.25">
      <c r="A10" s="19" t="str">
        <f>Переменные[[#This Row],[TestReportID]]</f>
        <v>TR_OQ_SMP_02_3_1</v>
      </c>
      <c r="B10" s="30" t="str">
        <f t="shared" si="7"/>
        <v>да</v>
      </c>
      <c r="C10" s="23" t="str">
        <f t="shared" si="4"/>
        <v>Val_2 OQ Sample parameters report template</v>
      </c>
      <c r="D10" s="33">
        <v>45793</v>
      </c>
      <c r="E10" s="30" t="str">
        <f t="shared" ca="1" si="5"/>
        <v>2025-05-23</v>
      </c>
      <c r="F10" s="23" t="str">
        <f t="shared" si="6"/>
        <v xml:space="preserve"> ☑  ☐  ☒ </v>
      </c>
      <c r="G10" s="32" t="str">
        <f>"TR_OQ_SMP_"&amp;Переменные[[#This Row],[DUT id]]</f>
        <v>TR_OQ_SMP_02_3_1</v>
      </c>
      <c r="H10" s="30" t="s">
        <v>248</v>
      </c>
      <c r="I10" s="33">
        <v>45800</v>
      </c>
      <c r="J10" s="30">
        <v>22</v>
      </c>
      <c r="K10" s="30">
        <v>67</v>
      </c>
      <c r="L10" s="30" t="s">
        <v>245</v>
      </c>
      <c r="M10" s="30" t="s">
        <v>243</v>
      </c>
      <c r="N10" s="30" t="s">
        <v>181</v>
      </c>
      <c r="O10" s="31" t="s">
        <v>228</v>
      </c>
      <c r="P10" s="31">
        <v>9.73</v>
      </c>
      <c r="Q10" s="30">
        <v>0.34</v>
      </c>
      <c r="R10" s="30">
        <v>0.39</v>
      </c>
      <c r="S10" s="30">
        <v>1.19</v>
      </c>
      <c r="T10" s="30">
        <v>5.88</v>
      </c>
      <c r="U10" s="35">
        <v>2.02</v>
      </c>
      <c r="V10" s="35">
        <v>1.67</v>
      </c>
    </row>
    <row r="11" spans="1:22" s="23" customFormat="1" ht="12" thickBot="1" x14ac:dyDescent="0.25">
      <c r="A11" s="19" t="str">
        <f>Переменные[[#This Row],[TestReportID]]</f>
        <v>TR_OQ_SMP_02_3_2</v>
      </c>
      <c r="B11" s="30" t="str">
        <f t="shared" si="7"/>
        <v>да</v>
      </c>
      <c r="C11" s="23" t="str">
        <f t="shared" si="4"/>
        <v>Val_2 OQ Sample parameters report template</v>
      </c>
      <c r="D11" s="33">
        <v>45793</v>
      </c>
      <c r="E11" s="30" t="str">
        <f t="shared" ca="1" si="5"/>
        <v>2025-05-23</v>
      </c>
      <c r="F11" s="23" t="str">
        <f t="shared" si="6"/>
        <v xml:space="preserve"> ☑  ☐  ☒ </v>
      </c>
      <c r="G11" s="32" t="str">
        <f>"TR_OQ_SMP_"&amp;Переменные[[#This Row],[DUT id]]</f>
        <v>TR_OQ_SMP_02_3_2</v>
      </c>
      <c r="H11" s="30" t="s">
        <v>248</v>
      </c>
      <c r="I11" s="33">
        <v>45800</v>
      </c>
      <c r="J11" s="30">
        <v>22</v>
      </c>
      <c r="K11" s="30">
        <v>67</v>
      </c>
      <c r="L11" s="30" t="s">
        <v>245</v>
      </c>
      <c r="M11" s="30" t="s">
        <v>243</v>
      </c>
      <c r="N11" s="30" t="s">
        <v>181</v>
      </c>
      <c r="O11" s="31" t="s">
        <v>229</v>
      </c>
      <c r="P11" s="31">
        <v>9.7899999999999991</v>
      </c>
      <c r="Q11" s="30">
        <v>0.23</v>
      </c>
      <c r="R11" s="30">
        <v>0.47</v>
      </c>
      <c r="S11" s="30">
        <v>1.2</v>
      </c>
      <c r="T11" s="30">
        <v>5.78</v>
      </c>
      <c r="U11" s="35">
        <v>2.15</v>
      </c>
      <c r="V11" s="35">
        <v>1.63</v>
      </c>
    </row>
    <row r="12" spans="1:22" s="23" customFormat="1" ht="12" thickBot="1" x14ac:dyDescent="0.25">
      <c r="A12" s="19" t="str">
        <f>Переменные[[#This Row],[TestReportID]]</f>
        <v>TR_OQ_SMP_02_3_3</v>
      </c>
      <c r="B12" s="30" t="str">
        <f t="shared" si="7"/>
        <v>да</v>
      </c>
      <c r="C12" s="23" t="str">
        <f t="shared" si="4"/>
        <v>Val_2 OQ Sample parameters report template</v>
      </c>
      <c r="D12" s="33">
        <v>45793</v>
      </c>
      <c r="E12" s="30" t="str">
        <f t="shared" ca="1" si="5"/>
        <v>2025-05-23</v>
      </c>
      <c r="F12" s="23" t="str">
        <f t="shared" si="6"/>
        <v xml:space="preserve"> ☑  ☐  ☒ </v>
      </c>
      <c r="G12" s="32" t="str">
        <f>"TR_OQ_SMP_"&amp;Переменные[[#This Row],[DUT id]]</f>
        <v>TR_OQ_SMP_02_3_3</v>
      </c>
      <c r="H12" s="30" t="s">
        <v>248</v>
      </c>
      <c r="I12" s="33">
        <v>45800</v>
      </c>
      <c r="J12" s="30">
        <v>22</v>
      </c>
      <c r="K12" s="30">
        <v>67</v>
      </c>
      <c r="L12" s="30" t="s">
        <v>245</v>
      </c>
      <c r="M12" s="30" t="s">
        <v>243</v>
      </c>
      <c r="N12" s="30" t="s">
        <v>181</v>
      </c>
      <c r="O12" s="31" t="s">
        <v>230</v>
      </c>
      <c r="P12" s="31">
        <v>9.8000000000000007</v>
      </c>
      <c r="Q12" s="30">
        <v>0.3</v>
      </c>
      <c r="R12" s="30">
        <v>0.45</v>
      </c>
      <c r="S12" s="30">
        <v>1.18</v>
      </c>
      <c r="T12" s="30">
        <v>5.93</v>
      </c>
      <c r="U12" s="35">
        <v>1.92</v>
      </c>
      <c r="V12" s="35">
        <v>1.58</v>
      </c>
    </row>
    <row r="13" spans="1:22" s="23" customFormat="1" ht="12" thickBot="1" x14ac:dyDescent="0.25">
      <c r="A13" s="19" t="str">
        <f>Переменные[[#This Row],[TestReportID]]</f>
        <v>TR_OQ_SMP_02_7_1</v>
      </c>
      <c r="B13" s="30" t="str">
        <f t="shared" si="7"/>
        <v>да</v>
      </c>
      <c r="C13" s="23" t="str">
        <f t="shared" si="4"/>
        <v>Val_2 OQ Sample parameters report template</v>
      </c>
      <c r="D13" s="33">
        <v>45793</v>
      </c>
      <c r="E13" s="30" t="str">
        <f t="shared" ca="1" si="5"/>
        <v>2025-05-23</v>
      </c>
      <c r="F13" s="23" t="str">
        <f t="shared" si="6"/>
        <v xml:space="preserve"> ☑  ☐  ☒ </v>
      </c>
      <c r="G13" s="32" t="str">
        <f>"TR_OQ_SMP_"&amp;Переменные[[#This Row],[DUT id]]</f>
        <v>TR_OQ_SMP_02_7_1</v>
      </c>
      <c r="H13" s="30" t="s">
        <v>248</v>
      </c>
      <c r="I13" s="33">
        <v>45800</v>
      </c>
      <c r="J13" s="30">
        <v>22</v>
      </c>
      <c r="K13" s="30">
        <v>67</v>
      </c>
      <c r="L13" s="30" t="s">
        <v>245</v>
      </c>
      <c r="M13" s="30" t="s">
        <v>243</v>
      </c>
      <c r="N13" s="30" t="s">
        <v>181</v>
      </c>
      <c r="O13" s="31" t="s">
        <v>182</v>
      </c>
      <c r="P13" s="31">
        <v>9.8000000000000007</v>
      </c>
      <c r="Q13" s="30">
        <v>0.44</v>
      </c>
      <c r="R13" s="30">
        <v>0.45</v>
      </c>
      <c r="S13" s="30">
        <v>1.18</v>
      </c>
      <c r="T13" s="30">
        <v>5.82</v>
      </c>
      <c r="U13" s="35">
        <v>2.09</v>
      </c>
      <c r="V13" s="35">
        <v>1.64</v>
      </c>
    </row>
    <row r="14" spans="1:22" s="23" customFormat="1" ht="12" thickBot="1" x14ac:dyDescent="0.25">
      <c r="A14" s="19" t="str">
        <f>Переменные[[#This Row],[TestReportID]]</f>
        <v>TR_OQ_SMP_02_7_2</v>
      </c>
      <c r="B14" s="35" t="str">
        <f t="shared" ref="B14:B15" si="8">"да"</f>
        <v>да</v>
      </c>
      <c r="C14" s="24" t="str">
        <f t="shared" ref="C14:C51" si="9">template_name</f>
        <v>Val_2 OQ Sample parameters report template</v>
      </c>
      <c r="D14" s="33">
        <v>45793</v>
      </c>
      <c r="E14" s="35" t="str">
        <f t="shared" ref="E14:E15" ca="1" si="10">TEXT(TODAY(), "ГГГГ-ММ-ДД")</f>
        <v>2025-05-23</v>
      </c>
      <c r="F14" s="24" t="str">
        <f t="shared" ref="F14:F15" si="11">" ☑  ☐  ☒ "</f>
        <v xml:space="preserve"> ☑  ☐  ☒ </v>
      </c>
      <c r="G14" s="32" t="str">
        <f>"TR_OQ_SMP_"&amp;Переменные[[#This Row],[DUT id]]</f>
        <v>TR_OQ_SMP_02_7_2</v>
      </c>
      <c r="H14" s="30" t="s">
        <v>248</v>
      </c>
      <c r="I14" s="33">
        <v>45800</v>
      </c>
      <c r="J14" s="30">
        <v>22</v>
      </c>
      <c r="K14" s="30">
        <v>67</v>
      </c>
      <c r="L14" s="30" t="s">
        <v>245</v>
      </c>
      <c r="M14" s="30" t="s">
        <v>243</v>
      </c>
      <c r="N14" s="30" t="s">
        <v>181</v>
      </c>
      <c r="O14" s="31" t="s">
        <v>183</v>
      </c>
      <c r="P14" s="31">
        <v>9.74</v>
      </c>
      <c r="Q14" s="30">
        <v>0.22</v>
      </c>
      <c r="R14" s="30">
        <v>0.5</v>
      </c>
      <c r="S14" s="30">
        <v>1.18</v>
      </c>
      <c r="T14" s="30">
        <v>5.71</v>
      </c>
      <c r="U14" s="35">
        <v>2.11</v>
      </c>
      <c r="V14" s="35">
        <v>1.59</v>
      </c>
    </row>
    <row r="15" spans="1:22" s="23" customFormat="1" ht="12" thickBot="1" x14ac:dyDescent="0.25">
      <c r="A15" s="19" t="str">
        <f>Переменные[[#This Row],[TestReportID]]</f>
        <v>TR_OQ_SMP_02_7_3</v>
      </c>
      <c r="B15" s="35" t="str">
        <f t="shared" si="8"/>
        <v>да</v>
      </c>
      <c r="C15" s="24" t="str">
        <f t="shared" si="9"/>
        <v>Val_2 OQ Sample parameters report template</v>
      </c>
      <c r="D15" s="33">
        <v>45793</v>
      </c>
      <c r="E15" s="35" t="str">
        <f t="shared" ca="1" si="10"/>
        <v>2025-05-23</v>
      </c>
      <c r="F15" s="24" t="str">
        <f t="shared" si="11"/>
        <v xml:space="preserve"> ☑  ☐  ☒ </v>
      </c>
      <c r="G15" s="32" t="str">
        <f>"TR_OQ_SMP_"&amp;Переменные[[#This Row],[DUT id]]</f>
        <v>TR_OQ_SMP_02_7_3</v>
      </c>
      <c r="H15" s="30" t="s">
        <v>248</v>
      </c>
      <c r="I15" s="33">
        <v>45800</v>
      </c>
      <c r="J15" s="30">
        <v>22</v>
      </c>
      <c r="K15" s="30">
        <v>67</v>
      </c>
      <c r="L15" s="30" t="s">
        <v>245</v>
      </c>
      <c r="M15" s="30" t="s">
        <v>243</v>
      </c>
      <c r="N15" s="30" t="s">
        <v>181</v>
      </c>
      <c r="O15" s="31" t="s">
        <v>184</v>
      </c>
      <c r="P15" s="31">
        <v>9.74</v>
      </c>
      <c r="Q15" s="30">
        <v>0.32</v>
      </c>
      <c r="R15" s="30">
        <v>0.38</v>
      </c>
      <c r="S15" s="30">
        <v>1.2</v>
      </c>
      <c r="T15" s="30">
        <v>6.02</v>
      </c>
      <c r="U15" s="35">
        <v>2.0699999999999998</v>
      </c>
      <c r="V15" s="35">
        <v>1.62</v>
      </c>
    </row>
    <row r="16" spans="1:22" s="23" customFormat="1" ht="12" thickBot="1" x14ac:dyDescent="0.25">
      <c r="A16" s="22" t="str">
        <f>Переменные[[#This Row],[TestReportID]]</f>
        <v>TR_OQ_SMP_02_8_1</v>
      </c>
      <c r="B16" s="36" t="str">
        <f>"да"</f>
        <v>да</v>
      </c>
      <c r="C16" s="25" t="str">
        <f t="shared" si="9"/>
        <v>Val_2 OQ Sample parameters report template</v>
      </c>
      <c r="D16" s="33">
        <v>45793</v>
      </c>
      <c r="E16" s="36" t="str">
        <f ca="1">TEXT(TODAY(), "ГГГГ-ММ-ДД")</f>
        <v>2025-05-23</v>
      </c>
      <c r="F16" s="25" t="str">
        <f>" ☑  ☐  ☒ "</f>
        <v xml:space="preserve"> ☑  ☐  ☒ </v>
      </c>
      <c r="G16" s="32" t="str">
        <f>"TR_OQ_SMP_"&amp;Переменные[[#This Row],[DUT id]]</f>
        <v>TR_OQ_SMP_02_8_1</v>
      </c>
      <c r="H16" s="30" t="s">
        <v>248</v>
      </c>
      <c r="I16" s="33">
        <v>45800</v>
      </c>
      <c r="J16" s="30">
        <v>22</v>
      </c>
      <c r="K16" s="30">
        <v>67</v>
      </c>
      <c r="L16" s="30" t="s">
        <v>245</v>
      </c>
      <c r="M16" s="30" t="s">
        <v>243</v>
      </c>
      <c r="N16" s="30" t="s">
        <v>181</v>
      </c>
      <c r="O16" s="31" t="s">
        <v>185</v>
      </c>
      <c r="P16" s="31">
        <v>9.75</v>
      </c>
      <c r="Q16" s="30">
        <v>0.17</v>
      </c>
      <c r="R16" s="30">
        <v>0.48</v>
      </c>
      <c r="S16" s="30">
        <v>1.2</v>
      </c>
      <c r="T16" s="30">
        <v>5.95</v>
      </c>
      <c r="U16" s="35">
        <v>1.93</v>
      </c>
      <c r="V16" s="35">
        <v>1.54</v>
      </c>
    </row>
    <row r="17" spans="1:22" s="23" customFormat="1" ht="12" thickBot="1" x14ac:dyDescent="0.25">
      <c r="A17" s="21" t="str">
        <f>Переменные[[#This Row],[TestReportID]]</f>
        <v>TR_OQ_SMP_02_8_2</v>
      </c>
      <c r="B17" s="35" t="str">
        <f t="shared" ref="B17:B18" si="12">"да"</f>
        <v>да</v>
      </c>
      <c r="C17" s="24" t="str">
        <f t="shared" si="9"/>
        <v>Val_2 OQ Sample parameters report template</v>
      </c>
      <c r="D17" s="33">
        <v>45793</v>
      </c>
      <c r="E17" s="35" t="str">
        <f t="shared" ref="E17:E18" ca="1" si="13">TEXT(TODAY(), "ГГГГ-ММ-ДД")</f>
        <v>2025-05-23</v>
      </c>
      <c r="F17" s="24" t="str">
        <f t="shared" ref="F17:F18" si="14">" ☑  ☐  ☒ "</f>
        <v xml:space="preserve"> ☑  ☐  ☒ </v>
      </c>
      <c r="G17" s="32" t="str">
        <f>"TR_OQ_SMP_"&amp;Переменные[[#This Row],[DUT id]]</f>
        <v>TR_OQ_SMP_02_8_2</v>
      </c>
      <c r="H17" s="30" t="s">
        <v>248</v>
      </c>
      <c r="I17" s="33">
        <v>45800</v>
      </c>
      <c r="J17" s="30">
        <v>22</v>
      </c>
      <c r="K17" s="30">
        <v>67</v>
      </c>
      <c r="L17" s="30" t="s">
        <v>245</v>
      </c>
      <c r="M17" s="30" t="s">
        <v>243</v>
      </c>
      <c r="N17" s="30" t="s">
        <v>181</v>
      </c>
      <c r="O17" s="31" t="s">
        <v>186</v>
      </c>
      <c r="P17" s="31">
        <v>9.76</v>
      </c>
      <c r="Q17" s="30">
        <v>0.4</v>
      </c>
      <c r="R17" s="30">
        <v>0.34</v>
      </c>
      <c r="S17" s="30">
        <v>1.18</v>
      </c>
      <c r="T17" s="30">
        <v>5.89</v>
      </c>
      <c r="U17" s="35">
        <v>2.04</v>
      </c>
      <c r="V17" s="35">
        <v>1.6</v>
      </c>
    </row>
    <row r="18" spans="1:22" s="23" customFormat="1" ht="12" thickBot="1" x14ac:dyDescent="0.25">
      <c r="A18" s="21" t="str">
        <f>Переменные[[#This Row],[TestReportID]]</f>
        <v>TR_OQ_SMP_02_8_3</v>
      </c>
      <c r="B18" s="35" t="str">
        <f t="shared" si="12"/>
        <v>да</v>
      </c>
      <c r="C18" s="24" t="str">
        <f t="shared" si="9"/>
        <v>Val_2 OQ Sample parameters report template</v>
      </c>
      <c r="D18" s="33">
        <v>45793</v>
      </c>
      <c r="E18" s="35" t="str">
        <f t="shared" ca="1" si="13"/>
        <v>2025-05-23</v>
      </c>
      <c r="F18" s="24" t="str">
        <f t="shared" si="14"/>
        <v xml:space="preserve"> ☑  ☐  ☒ </v>
      </c>
      <c r="G18" s="32" t="str">
        <f>"TR_OQ_SMP_"&amp;Переменные[[#This Row],[DUT id]]</f>
        <v>TR_OQ_SMP_02_8_3</v>
      </c>
      <c r="H18" s="30" t="s">
        <v>248</v>
      </c>
      <c r="I18" s="33">
        <v>45800</v>
      </c>
      <c r="J18" s="30">
        <v>22</v>
      </c>
      <c r="K18" s="30">
        <v>67</v>
      </c>
      <c r="L18" s="30" t="s">
        <v>245</v>
      </c>
      <c r="M18" s="30" t="s">
        <v>243</v>
      </c>
      <c r="N18" s="30" t="s">
        <v>181</v>
      </c>
      <c r="O18" s="31" t="s">
        <v>187</v>
      </c>
      <c r="P18" s="31">
        <v>9.7799999999999994</v>
      </c>
      <c r="Q18" s="30">
        <v>0.37</v>
      </c>
      <c r="R18" s="30">
        <v>0.37</v>
      </c>
      <c r="S18" s="30">
        <v>1.2</v>
      </c>
      <c r="T18" s="30">
        <v>5.73</v>
      </c>
      <c r="U18" s="35">
        <v>2.17</v>
      </c>
      <c r="V18" s="35">
        <v>1.44</v>
      </c>
    </row>
    <row r="19" spans="1:22" s="23" customFormat="1" ht="12" thickBot="1" x14ac:dyDescent="0.25">
      <c r="A19" s="22" t="str">
        <f>Переменные[[#This Row],[TestReportID]]</f>
        <v>TR_OQ_SMP_02_4_1</v>
      </c>
      <c r="B19" s="36" t="str">
        <f>"да"</f>
        <v>да</v>
      </c>
      <c r="C19" s="25" t="str">
        <f t="shared" si="9"/>
        <v>Val_2 OQ Sample parameters report template</v>
      </c>
      <c r="D19" s="33">
        <v>45793</v>
      </c>
      <c r="E19" s="36" t="str">
        <f ca="1">TEXT(TODAY(), "ГГГГ-ММ-ДД")</f>
        <v>2025-05-23</v>
      </c>
      <c r="F19" s="25" t="str">
        <f>" ☑  ☐  ☒ "</f>
        <v xml:space="preserve"> ☑  ☐  ☒ </v>
      </c>
      <c r="G19" s="32" t="str">
        <f>"TR_OQ_SMP_"&amp;Переменные[[#This Row],[DUT id]]</f>
        <v>TR_OQ_SMP_02_4_1</v>
      </c>
      <c r="H19" s="30" t="s">
        <v>248</v>
      </c>
      <c r="I19" s="33">
        <v>45800</v>
      </c>
      <c r="J19" s="30">
        <v>22</v>
      </c>
      <c r="K19" s="30">
        <v>67</v>
      </c>
      <c r="L19" s="30" t="s">
        <v>245</v>
      </c>
      <c r="M19" s="30" t="s">
        <v>243</v>
      </c>
      <c r="N19" s="30" t="s">
        <v>181</v>
      </c>
      <c r="O19" s="31" t="s">
        <v>188</v>
      </c>
      <c r="P19" s="31">
        <v>9.77</v>
      </c>
      <c r="Q19" s="30">
        <v>0.3</v>
      </c>
      <c r="R19" s="30">
        <v>0.44</v>
      </c>
      <c r="S19" s="30">
        <v>1.19</v>
      </c>
      <c r="T19" s="30">
        <v>6.11</v>
      </c>
      <c r="U19" s="35">
        <v>1.7</v>
      </c>
      <c r="V19" s="35">
        <v>1.61</v>
      </c>
    </row>
    <row r="20" spans="1:22" s="23" customFormat="1" ht="12" customHeight="1" thickBot="1" x14ac:dyDescent="0.25">
      <c r="A20" s="21" t="str">
        <f>Переменные[[#This Row],[TestReportID]]</f>
        <v>TR_OQ_SMP_02_4_2</v>
      </c>
      <c r="B20" s="35" t="str">
        <f t="shared" ref="B20:B21" si="15">"да"</f>
        <v>да</v>
      </c>
      <c r="C20" s="24" t="str">
        <f t="shared" si="9"/>
        <v>Val_2 OQ Sample parameters report template</v>
      </c>
      <c r="D20" s="33">
        <v>45793</v>
      </c>
      <c r="E20" s="35" t="str">
        <f t="shared" ref="E20:E21" ca="1" si="16">TEXT(TODAY(), "ГГГГ-ММ-ДД")</f>
        <v>2025-05-23</v>
      </c>
      <c r="F20" s="24" t="str">
        <f t="shared" ref="F20:F21" si="17">" ☑  ☐  ☒ "</f>
        <v xml:space="preserve"> ☑  ☐  ☒ </v>
      </c>
      <c r="G20" s="32" t="str">
        <f>"TR_OQ_SMP_"&amp;Переменные[[#This Row],[DUT id]]</f>
        <v>TR_OQ_SMP_02_4_2</v>
      </c>
      <c r="H20" s="30" t="s">
        <v>248</v>
      </c>
      <c r="I20" s="33">
        <v>45800</v>
      </c>
      <c r="J20" s="30">
        <v>22</v>
      </c>
      <c r="K20" s="30">
        <v>67</v>
      </c>
      <c r="L20" s="30" t="s">
        <v>245</v>
      </c>
      <c r="M20" s="30" t="s">
        <v>243</v>
      </c>
      <c r="N20" s="30" t="s">
        <v>181</v>
      </c>
      <c r="O20" s="31" t="s">
        <v>189</v>
      </c>
      <c r="P20" s="31">
        <v>9.8000000000000007</v>
      </c>
      <c r="Q20" s="30">
        <v>0.46</v>
      </c>
      <c r="R20" s="30">
        <v>0.42</v>
      </c>
      <c r="S20" s="30">
        <v>1.2</v>
      </c>
      <c r="T20" s="30">
        <v>6.05</v>
      </c>
      <c r="U20" s="35">
        <v>1.91</v>
      </c>
      <c r="V20" s="35">
        <v>1.69</v>
      </c>
    </row>
    <row r="21" spans="1:22" s="23" customFormat="1" ht="12" customHeight="1" thickBot="1" x14ac:dyDescent="0.25">
      <c r="A21" s="21" t="str">
        <f>Переменные[[#This Row],[TestReportID]]</f>
        <v>TR_OQ_SMP_02_4_3</v>
      </c>
      <c r="B21" s="35" t="str">
        <f t="shared" si="15"/>
        <v>да</v>
      </c>
      <c r="C21" s="24" t="str">
        <f t="shared" si="9"/>
        <v>Val_2 OQ Sample parameters report template</v>
      </c>
      <c r="D21" s="33">
        <v>45793</v>
      </c>
      <c r="E21" s="35" t="str">
        <f t="shared" ca="1" si="16"/>
        <v>2025-05-23</v>
      </c>
      <c r="F21" s="24" t="str">
        <f t="shared" si="17"/>
        <v xml:space="preserve"> ☑  ☐  ☒ </v>
      </c>
      <c r="G21" s="32" t="str">
        <f>"TR_OQ_SMP_"&amp;Переменные[[#This Row],[DUT id]]</f>
        <v>TR_OQ_SMP_02_4_3</v>
      </c>
      <c r="H21" s="30" t="s">
        <v>248</v>
      </c>
      <c r="I21" s="33">
        <v>45800</v>
      </c>
      <c r="J21" s="30">
        <v>22</v>
      </c>
      <c r="K21" s="30">
        <v>67</v>
      </c>
      <c r="L21" s="30" t="s">
        <v>245</v>
      </c>
      <c r="M21" s="30" t="s">
        <v>243</v>
      </c>
      <c r="N21" s="30" t="s">
        <v>181</v>
      </c>
      <c r="O21" s="31" t="s">
        <v>190</v>
      </c>
      <c r="P21" s="31">
        <v>9.75</v>
      </c>
      <c r="Q21" s="30">
        <v>0.36</v>
      </c>
      <c r="R21" s="30">
        <v>0.38</v>
      </c>
      <c r="S21" s="30">
        <v>1.19</v>
      </c>
      <c r="T21" s="30">
        <v>6.01</v>
      </c>
      <c r="U21" s="35">
        <v>1.8</v>
      </c>
      <c r="V21" s="35">
        <v>1.65</v>
      </c>
    </row>
    <row r="22" spans="1:22" s="23" customFormat="1" ht="12" customHeight="1" thickBot="1" x14ac:dyDescent="0.25">
      <c r="A22" s="22" t="str">
        <f>Переменные[[#This Row],[TestReportID]]</f>
        <v>TR_OQ_SMP_02_1_1</v>
      </c>
      <c r="B22" s="36" t="str">
        <f>"да"</f>
        <v>да</v>
      </c>
      <c r="C22" s="25" t="str">
        <f t="shared" si="9"/>
        <v>Val_2 OQ Sample parameters report template</v>
      </c>
      <c r="D22" s="33">
        <v>45793</v>
      </c>
      <c r="E22" s="36" t="str">
        <f ca="1">TEXT(TODAY(), "ГГГГ-ММ-ДД")</f>
        <v>2025-05-23</v>
      </c>
      <c r="F22" s="25" t="str">
        <f>" ☑  ☐  ☒ "</f>
        <v xml:space="preserve"> ☑  ☐  ☒ </v>
      </c>
      <c r="G22" s="32" t="str">
        <f>"TR_OQ_SMP_"&amp;Переменные[[#This Row],[DUT id]]</f>
        <v>TR_OQ_SMP_02_1_1</v>
      </c>
      <c r="H22" s="30" t="s">
        <v>248</v>
      </c>
      <c r="I22" s="33">
        <v>45800</v>
      </c>
      <c r="J22" s="30">
        <v>22</v>
      </c>
      <c r="K22" s="30">
        <v>67</v>
      </c>
      <c r="L22" s="30" t="s">
        <v>245</v>
      </c>
      <c r="M22" s="30" t="s">
        <v>243</v>
      </c>
      <c r="N22" s="30" t="s">
        <v>181</v>
      </c>
      <c r="O22" s="31" t="s">
        <v>191</v>
      </c>
      <c r="P22" s="31">
        <v>9.77</v>
      </c>
      <c r="Q22" s="30">
        <v>0.28000000000000003</v>
      </c>
      <c r="R22" s="30">
        <v>0.44</v>
      </c>
      <c r="S22" s="30">
        <v>1.2</v>
      </c>
      <c r="T22" s="30">
        <v>6.26</v>
      </c>
      <c r="U22" s="35">
        <v>1.53</v>
      </c>
      <c r="V22" s="35">
        <v>1.69</v>
      </c>
    </row>
    <row r="23" spans="1:22" s="23" customFormat="1" ht="12" customHeight="1" thickBot="1" x14ac:dyDescent="0.25">
      <c r="A23" s="21" t="str">
        <f>Переменные[[#This Row],[TestReportID]]</f>
        <v>TR_OQ_SMP_02_1_2</v>
      </c>
      <c r="B23" s="35" t="str">
        <f t="shared" ref="B23:B24" si="18">"да"</f>
        <v>да</v>
      </c>
      <c r="C23" s="24" t="str">
        <f t="shared" si="9"/>
        <v>Val_2 OQ Sample parameters report template</v>
      </c>
      <c r="D23" s="33">
        <v>45793</v>
      </c>
      <c r="E23" s="35" t="str">
        <f t="shared" ref="E23:E24" ca="1" si="19">TEXT(TODAY(), "ГГГГ-ММ-ДД")</f>
        <v>2025-05-23</v>
      </c>
      <c r="F23" s="24" t="str">
        <f t="shared" ref="F23:F24" si="20">" ☑  ☐  ☒ "</f>
        <v xml:space="preserve"> ☑  ☐  ☒ </v>
      </c>
      <c r="G23" s="32" t="str">
        <f>"TR_OQ_SMP_"&amp;Переменные[[#This Row],[DUT id]]</f>
        <v>TR_OQ_SMP_02_1_2</v>
      </c>
      <c r="H23" s="30" t="s">
        <v>248</v>
      </c>
      <c r="I23" s="33">
        <v>45800</v>
      </c>
      <c r="J23" s="30">
        <v>22</v>
      </c>
      <c r="K23" s="30">
        <v>67</v>
      </c>
      <c r="L23" s="30" t="s">
        <v>245</v>
      </c>
      <c r="M23" s="30" t="s">
        <v>243</v>
      </c>
      <c r="N23" s="30" t="s">
        <v>181</v>
      </c>
      <c r="O23" s="31" t="s">
        <v>192</v>
      </c>
      <c r="P23" s="31">
        <v>9.75</v>
      </c>
      <c r="Q23" s="30">
        <v>0.32</v>
      </c>
      <c r="R23" s="30">
        <v>0.36</v>
      </c>
      <c r="S23" s="30">
        <v>1.19</v>
      </c>
      <c r="T23" s="30">
        <v>5.7</v>
      </c>
      <c r="U23" s="35">
        <v>2.1800000000000002</v>
      </c>
      <c r="V23" s="35">
        <v>1.65</v>
      </c>
    </row>
    <row r="24" spans="1:22" s="23" customFormat="1" ht="12" customHeight="1" thickBot="1" x14ac:dyDescent="0.25">
      <c r="A24" s="21" t="str">
        <f>Переменные[[#This Row],[TestReportID]]</f>
        <v>TR_OQ_SMP_02_1_3</v>
      </c>
      <c r="B24" s="35" t="str">
        <f t="shared" si="18"/>
        <v>да</v>
      </c>
      <c r="C24" s="24" t="str">
        <f t="shared" si="9"/>
        <v>Val_2 OQ Sample parameters report template</v>
      </c>
      <c r="D24" s="33">
        <v>45793</v>
      </c>
      <c r="E24" s="35" t="str">
        <f t="shared" ca="1" si="19"/>
        <v>2025-05-23</v>
      </c>
      <c r="F24" s="24" t="str">
        <f t="shared" si="20"/>
        <v xml:space="preserve"> ☑  ☐  ☒ </v>
      </c>
      <c r="G24" s="32" t="str">
        <f>"TR_OQ_SMP_"&amp;Переменные[[#This Row],[DUT id]]</f>
        <v>TR_OQ_SMP_02_1_3</v>
      </c>
      <c r="H24" s="30" t="s">
        <v>248</v>
      </c>
      <c r="I24" s="33">
        <v>45800</v>
      </c>
      <c r="J24" s="30">
        <v>22</v>
      </c>
      <c r="K24" s="30">
        <v>67</v>
      </c>
      <c r="L24" s="30" t="s">
        <v>245</v>
      </c>
      <c r="M24" s="30" t="s">
        <v>243</v>
      </c>
      <c r="N24" s="30" t="s">
        <v>181</v>
      </c>
      <c r="O24" s="31" t="s">
        <v>193</v>
      </c>
      <c r="P24" s="31">
        <v>9.75</v>
      </c>
      <c r="Q24" s="30">
        <v>0.28000000000000003</v>
      </c>
      <c r="R24" s="30">
        <v>0.34</v>
      </c>
      <c r="S24" s="30">
        <v>1.18</v>
      </c>
      <c r="T24" s="30">
        <v>5.83</v>
      </c>
      <c r="U24" s="35">
        <v>2.0699999999999998</v>
      </c>
      <c r="V24" s="35">
        <v>1.59</v>
      </c>
    </row>
    <row r="25" spans="1:22" s="23" customFormat="1" ht="12" customHeight="1" thickBot="1" x14ac:dyDescent="0.25">
      <c r="A25" s="22" t="str">
        <f>Переменные[[#This Row],[TestReportID]]</f>
        <v>TR_OQ_SMP_02_5_1</v>
      </c>
      <c r="B25" s="36" t="str">
        <f>"да"</f>
        <v>да</v>
      </c>
      <c r="C25" s="25" t="str">
        <f t="shared" si="9"/>
        <v>Val_2 OQ Sample parameters report template</v>
      </c>
      <c r="D25" s="33">
        <v>45793</v>
      </c>
      <c r="E25" s="36" t="str">
        <f ca="1">TEXT(TODAY(), "ГГГГ-ММ-ДД")</f>
        <v>2025-05-23</v>
      </c>
      <c r="F25" s="25" t="str">
        <f>" ☑  ☐  ☒ "</f>
        <v xml:space="preserve"> ☑  ☐  ☒ </v>
      </c>
      <c r="G25" s="32" t="str">
        <f>"TR_OQ_SMP_"&amp;Переменные[[#This Row],[DUT id]]</f>
        <v>TR_OQ_SMP_02_5_1</v>
      </c>
      <c r="H25" s="30" t="s">
        <v>248</v>
      </c>
      <c r="I25" s="33">
        <v>45800</v>
      </c>
      <c r="J25" s="30">
        <v>22</v>
      </c>
      <c r="K25" s="30">
        <v>67</v>
      </c>
      <c r="L25" s="30" t="s">
        <v>245</v>
      </c>
      <c r="M25" s="30" t="s">
        <v>243</v>
      </c>
      <c r="N25" s="30" t="s">
        <v>181</v>
      </c>
      <c r="O25" s="31" t="s">
        <v>194</v>
      </c>
      <c r="P25" s="31">
        <v>9.75</v>
      </c>
      <c r="Q25" s="30">
        <v>0.42</v>
      </c>
      <c r="R25" s="30">
        <v>0.39</v>
      </c>
      <c r="S25" s="30">
        <v>1.19</v>
      </c>
      <c r="T25" s="30">
        <v>5.86</v>
      </c>
      <c r="U25" s="35">
        <v>1.87</v>
      </c>
      <c r="V25" s="35">
        <v>1.7</v>
      </c>
    </row>
    <row r="26" spans="1:22" s="23" customFormat="1" ht="12" customHeight="1" thickBot="1" x14ac:dyDescent="0.25">
      <c r="A26" s="21" t="str">
        <f>Переменные[[#This Row],[TestReportID]]</f>
        <v>TR_OQ_SMP_02_5_2</v>
      </c>
      <c r="B26" s="35" t="str">
        <f t="shared" ref="B26:B27" si="21">"да"</f>
        <v>да</v>
      </c>
      <c r="C26" s="24" t="str">
        <f t="shared" si="9"/>
        <v>Val_2 OQ Sample parameters report template</v>
      </c>
      <c r="D26" s="33">
        <v>45793</v>
      </c>
      <c r="E26" s="35" t="str">
        <f t="shared" ref="E26:E27" ca="1" si="22">TEXT(TODAY(), "ГГГГ-ММ-ДД")</f>
        <v>2025-05-23</v>
      </c>
      <c r="F26" s="24" t="str">
        <f t="shared" ref="F26:F27" si="23">" ☑  ☐  ☒ "</f>
        <v xml:space="preserve"> ☑  ☐  ☒ </v>
      </c>
      <c r="G26" s="32" t="str">
        <f>"TR_OQ_SMP_"&amp;Переменные[[#This Row],[DUT id]]</f>
        <v>TR_OQ_SMP_02_5_2</v>
      </c>
      <c r="H26" s="30" t="s">
        <v>248</v>
      </c>
      <c r="I26" s="33">
        <v>45800</v>
      </c>
      <c r="J26" s="30">
        <v>22</v>
      </c>
      <c r="K26" s="30">
        <v>67</v>
      </c>
      <c r="L26" s="30" t="s">
        <v>245</v>
      </c>
      <c r="M26" s="30" t="s">
        <v>243</v>
      </c>
      <c r="N26" s="30" t="s">
        <v>181</v>
      </c>
      <c r="O26" s="31" t="s">
        <v>195</v>
      </c>
      <c r="P26" s="31">
        <v>9.75</v>
      </c>
      <c r="Q26" s="30">
        <v>0.3</v>
      </c>
      <c r="R26" s="30">
        <v>0.39</v>
      </c>
      <c r="S26" s="30">
        <v>1.2</v>
      </c>
      <c r="T26" s="30">
        <v>5.92</v>
      </c>
      <c r="U26" s="35">
        <v>1.98</v>
      </c>
      <c r="V26" s="35">
        <v>1.56</v>
      </c>
    </row>
    <row r="27" spans="1:22" s="23" customFormat="1" ht="12" customHeight="1" thickBot="1" x14ac:dyDescent="0.25">
      <c r="A27" s="21" t="str">
        <f>Переменные[[#This Row],[TestReportID]]</f>
        <v>TR_OQ_SMP_02_5_3</v>
      </c>
      <c r="B27" s="35" t="str">
        <f t="shared" si="21"/>
        <v>да</v>
      </c>
      <c r="C27" s="24" t="str">
        <f t="shared" si="9"/>
        <v>Val_2 OQ Sample parameters report template</v>
      </c>
      <c r="D27" s="33">
        <v>45793</v>
      </c>
      <c r="E27" s="35" t="str">
        <f t="shared" ca="1" si="22"/>
        <v>2025-05-23</v>
      </c>
      <c r="F27" s="24" t="str">
        <f t="shared" si="23"/>
        <v xml:space="preserve"> ☑  ☐  ☒ </v>
      </c>
      <c r="G27" s="32" t="str">
        <f>"TR_OQ_SMP_"&amp;Переменные[[#This Row],[DUT id]]</f>
        <v>TR_OQ_SMP_02_5_3</v>
      </c>
      <c r="H27" s="30" t="s">
        <v>248</v>
      </c>
      <c r="I27" s="33">
        <v>45800</v>
      </c>
      <c r="J27" s="30">
        <v>22</v>
      </c>
      <c r="K27" s="30">
        <v>67</v>
      </c>
      <c r="L27" s="30" t="s">
        <v>245</v>
      </c>
      <c r="M27" s="30" t="s">
        <v>243</v>
      </c>
      <c r="N27" s="30" t="s">
        <v>181</v>
      </c>
      <c r="O27" s="31" t="s">
        <v>196</v>
      </c>
      <c r="P27" s="31">
        <v>9.77</v>
      </c>
      <c r="Q27" s="30">
        <v>0.35</v>
      </c>
      <c r="R27" s="30">
        <v>0.4</v>
      </c>
      <c r="S27" s="30">
        <v>1.2</v>
      </c>
      <c r="T27" s="30">
        <v>5.8</v>
      </c>
      <c r="U27" s="35">
        <v>2.04</v>
      </c>
      <c r="V27" s="35">
        <v>1.61</v>
      </c>
    </row>
    <row r="28" spans="1:22" s="23" customFormat="1" ht="12" customHeight="1" thickBot="1" x14ac:dyDescent="0.25">
      <c r="A28" s="21" t="str">
        <f>Переменные[[#This Row],[TestReportID]]</f>
        <v>TR_OQ_SMP_03_9_1</v>
      </c>
      <c r="B28" s="35" t="str">
        <f>"да"</f>
        <v>да</v>
      </c>
      <c r="C28" s="24" t="str">
        <f t="shared" si="9"/>
        <v>Val_2 OQ Sample parameters report template</v>
      </c>
      <c r="D28" s="33">
        <v>45793</v>
      </c>
      <c r="E28" s="35" t="str">
        <f ca="1">TEXT(TODAY(), "ГГГГ-ММ-ДД")</f>
        <v>2025-05-23</v>
      </c>
      <c r="F28" s="24" t="str">
        <f>" ☑  ☐  ☒ "</f>
        <v xml:space="preserve"> ☑  ☐  ☒ </v>
      </c>
      <c r="G28" s="32" t="str">
        <f>"TR_OQ_SMP_"&amp;Переменные[[#This Row],[DUT id]]</f>
        <v>TR_OQ_SMP_03_9_1</v>
      </c>
      <c r="H28" s="30" t="s">
        <v>248</v>
      </c>
      <c r="I28" s="33">
        <v>45800</v>
      </c>
      <c r="J28" s="30">
        <v>22</v>
      </c>
      <c r="K28" s="30">
        <v>67</v>
      </c>
      <c r="L28" s="30" t="s">
        <v>245</v>
      </c>
      <c r="M28" s="30" t="s">
        <v>243</v>
      </c>
      <c r="N28" s="30" t="s">
        <v>197</v>
      </c>
      <c r="O28" s="31" t="s">
        <v>198</v>
      </c>
      <c r="P28" s="31">
        <v>11.56</v>
      </c>
      <c r="Q28" s="30">
        <v>0.3</v>
      </c>
      <c r="R28" s="30">
        <v>0.48</v>
      </c>
      <c r="S28" s="30">
        <v>1.4</v>
      </c>
      <c r="T28" s="30">
        <v>6.95</v>
      </c>
      <c r="U28" s="35">
        <v>2.79</v>
      </c>
      <c r="V28" s="35">
        <v>1.27</v>
      </c>
    </row>
    <row r="29" spans="1:22" s="23" customFormat="1" ht="12" customHeight="1" thickBot="1" x14ac:dyDescent="0.25">
      <c r="A29" s="21" t="str">
        <f>Переменные[[#This Row],[TestReportID]]</f>
        <v>TR_OQ_SMP_03_9_2</v>
      </c>
      <c r="B29" s="35" t="str">
        <f t="shared" ref="B29:B30" si="24">"да"</f>
        <v>да</v>
      </c>
      <c r="C29" s="24" t="str">
        <f t="shared" si="9"/>
        <v>Val_2 OQ Sample parameters report template</v>
      </c>
      <c r="D29" s="33">
        <v>45793</v>
      </c>
      <c r="E29" s="35" t="str">
        <f t="shared" ref="E29:E30" ca="1" si="25">TEXT(TODAY(), "ГГГГ-ММ-ДД")</f>
        <v>2025-05-23</v>
      </c>
      <c r="F29" s="24" t="str">
        <f t="shared" ref="F29:F30" si="26">" ☑  ☐  ☒ "</f>
        <v xml:space="preserve"> ☑  ☐  ☒ </v>
      </c>
      <c r="G29" s="32" t="str">
        <f>"TR_OQ_SMP_"&amp;Переменные[[#This Row],[DUT id]]</f>
        <v>TR_OQ_SMP_03_9_2</v>
      </c>
      <c r="H29" s="30" t="s">
        <v>248</v>
      </c>
      <c r="I29" s="33">
        <v>45800</v>
      </c>
      <c r="J29" s="30">
        <v>22</v>
      </c>
      <c r="K29" s="30">
        <v>67</v>
      </c>
      <c r="L29" s="30" t="s">
        <v>245</v>
      </c>
      <c r="M29" s="30" t="s">
        <v>243</v>
      </c>
      <c r="N29" s="30" t="s">
        <v>197</v>
      </c>
      <c r="O29" s="31" t="s">
        <v>199</v>
      </c>
      <c r="P29" s="31">
        <v>11.62</v>
      </c>
      <c r="Q29" s="30">
        <v>0.56000000000000005</v>
      </c>
      <c r="R29" s="30">
        <v>0.36</v>
      </c>
      <c r="S29" s="30">
        <v>1.4</v>
      </c>
      <c r="T29" s="30">
        <v>6.77</v>
      </c>
      <c r="U29" s="35">
        <v>2.2799999999999998</v>
      </c>
      <c r="V29" s="35">
        <v>1.99</v>
      </c>
    </row>
    <row r="30" spans="1:22" ht="12" customHeight="1" thickBot="1" x14ac:dyDescent="0.3">
      <c r="A30" s="21" t="str">
        <f>Переменные[[#This Row],[TestReportID]]</f>
        <v>TR_OQ_SMP_03_9_3</v>
      </c>
      <c r="B30" s="35" t="str">
        <f t="shared" si="24"/>
        <v>да</v>
      </c>
      <c r="C30" s="24" t="str">
        <f t="shared" si="9"/>
        <v>Val_2 OQ Sample parameters report template</v>
      </c>
      <c r="D30" s="33">
        <v>45793</v>
      </c>
      <c r="E30" s="35" t="str">
        <f t="shared" ca="1" si="25"/>
        <v>2025-05-23</v>
      </c>
      <c r="F30" s="24" t="str">
        <f t="shared" si="26"/>
        <v xml:space="preserve"> ☑  ☐  ☒ </v>
      </c>
      <c r="G30" s="32" t="str">
        <f>"TR_OQ_SMP_"&amp;Переменные[[#This Row],[DUT id]]</f>
        <v>TR_OQ_SMP_03_9_3</v>
      </c>
      <c r="H30" s="30" t="s">
        <v>248</v>
      </c>
      <c r="I30" s="33">
        <v>45800</v>
      </c>
      <c r="J30" s="30">
        <v>22</v>
      </c>
      <c r="K30" s="30">
        <v>67</v>
      </c>
      <c r="L30" s="30" t="s">
        <v>245</v>
      </c>
      <c r="M30" s="30" t="s">
        <v>243</v>
      </c>
      <c r="N30" s="30" t="s">
        <v>197</v>
      </c>
      <c r="O30" s="31" t="s">
        <v>200</v>
      </c>
      <c r="P30" s="31">
        <v>11.78</v>
      </c>
      <c r="Q30" s="30">
        <v>0.2</v>
      </c>
      <c r="R30" s="30">
        <v>0.57999999999999996</v>
      </c>
      <c r="S30" s="30">
        <v>1.4</v>
      </c>
      <c r="T30" s="30">
        <v>6.31</v>
      </c>
      <c r="U30" s="35">
        <v>2.4</v>
      </c>
      <c r="V30" s="35">
        <v>2.41</v>
      </c>
    </row>
    <row r="31" spans="1:22" ht="12" customHeight="1" thickBot="1" x14ac:dyDescent="0.3">
      <c r="A31" s="22" t="str">
        <f>Переменные[[#This Row],[TestReportID]]</f>
        <v>TR_OQ_SMP_03_16_1</v>
      </c>
      <c r="B31" s="36" t="str">
        <f>"да"</f>
        <v>да</v>
      </c>
      <c r="C31" s="25" t="str">
        <f t="shared" si="9"/>
        <v>Val_2 OQ Sample parameters report template</v>
      </c>
      <c r="D31" s="33">
        <v>45793</v>
      </c>
      <c r="E31" s="36" t="str">
        <f ca="1">TEXT(TODAY(), "ГГГГ-ММ-ДД")</f>
        <v>2025-05-23</v>
      </c>
      <c r="F31" s="25" t="str">
        <f>" ☑  ☐  ☒ "</f>
        <v xml:space="preserve"> ☑  ☐  ☒ </v>
      </c>
      <c r="G31" s="32" t="str">
        <f>"TR_OQ_SMP_"&amp;Переменные[[#This Row],[DUT id]]</f>
        <v>TR_OQ_SMP_03_16_1</v>
      </c>
      <c r="H31" s="30" t="s">
        <v>248</v>
      </c>
      <c r="I31" s="33">
        <v>45800</v>
      </c>
      <c r="J31" s="30">
        <v>22</v>
      </c>
      <c r="K31" s="30">
        <v>67</v>
      </c>
      <c r="L31" s="30" t="s">
        <v>245</v>
      </c>
      <c r="M31" s="30" t="s">
        <v>243</v>
      </c>
      <c r="N31" s="30" t="s">
        <v>197</v>
      </c>
      <c r="O31" s="31" t="s">
        <v>201</v>
      </c>
      <c r="P31" s="31">
        <v>11.74</v>
      </c>
      <c r="Q31" s="30">
        <v>0.35</v>
      </c>
      <c r="R31" s="30">
        <v>0.46</v>
      </c>
      <c r="S31" s="30">
        <v>1.4</v>
      </c>
      <c r="T31" s="30">
        <v>7.15</v>
      </c>
      <c r="U31" s="35">
        <v>2.11</v>
      </c>
      <c r="V31" s="35">
        <v>1.88</v>
      </c>
    </row>
    <row r="32" spans="1:22" ht="12" customHeight="1" thickBot="1" x14ac:dyDescent="0.3">
      <c r="A32" s="21" t="str">
        <f>Переменные[[#This Row],[TestReportID]]</f>
        <v>TR_OQ_SMP_03_16_2</v>
      </c>
      <c r="B32" s="35" t="str">
        <f t="shared" ref="B32:B33" si="27">"да"</f>
        <v>да</v>
      </c>
      <c r="C32" s="24" t="str">
        <f t="shared" si="9"/>
        <v>Val_2 OQ Sample parameters report template</v>
      </c>
      <c r="D32" s="33">
        <v>45793</v>
      </c>
      <c r="E32" s="35" t="str">
        <f t="shared" ref="E32:E33" ca="1" si="28">TEXT(TODAY(), "ГГГГ-ММ-ДД")</f>
        <v>2025-05-23</v>
      </c>
      <c r="F32" s="24" t="str">
        <f t="shared" ref="F32:F33" si="29">" ☑  ☐  ☒ "</f>
        <v xml:space="preserve"> ☑  ☐  ☒ </v>
      </c>
      <c r="G32" s="32" t="str">
        <f>"TR_OQ_SMP_"&amp;Переменные[[#This Row],[DUT id]]</f>
        <v>TR_OQ_SMP_03_16_2</v>
      </c>
      <c r="H32" s="30" t="s">
        <v>248</v>
      </c>
      <c r="I32" s="33">
        <v>45800</v>
      </c>
      <c r="J32" s="30">
        <v>22</v>
      </c>
      <c r="K32" s="30">
        <v>67</v>
      </c>
      <c r="L32" s="30" t="s">
        <v>245</v>
      </c>
      <c r="M32" s="30" t="s">
        <v>243</v>
      </c>
      <c r="N32" s="30" t="s">
        <v>197</v>
      </c>
      <c r="O32" s="31" t="s">
        <v>202</v>
      </c>
      <c r="P32" s="31">
        <v>11.78</v>
      </c>
      <c r="Q32" s="30">
        <v>0.33</v>
      </c>
      <c r="R32" s="30">
        <v>0.5</v>
      </c>
      <c r="S32" s="30">
        <v>1.4</v>
      </c>
      <c r="T32" s="30">
        <v>6.35</v>
      </c>
      <c r="U32" s="35">
        <v>2.02</v>
      </c>
      <c r="V32" s="35">
        <v>2.65</v>
      </c>
    </row>
    <row r="33" spans="1:22" ht="12" customHeight="1" thickBot="1" x14ac:dyDescent="0.3">
      <c r="A33" s="21" t="str">
        <f>Переменные[[#This Row],[TestReportID]]</f>
        <v>TR_OQ_SMP_03_16_3</v>
      </c>
      <c r="B33" s="35" t="str">
        <f t="shared" si="27"/>
        <v>да</v>
      </c>
      <c r="C33" s="24" t="str">
        <f t="shared" si="9"/>
        <v>Val_2 OQ Sample parameters report template</v>
      </c>
      <c r="D33" s="33">
        <v>45793</v>
      </c>
      <c r="E33" s="35" t="str">
        <f t="shared" ca="1" si="28"/>
        <v>2025-05-23</v>
      </c>
      <c r="F33" s="24" t="str">
        <f t="shared" si="29"/>
        <v xml:space="preserve"> ☑  ☐  ☒ </v>
      </c>
      <c r="G33" s="32" t="str">
        <f>"TR_OQ_SMP_"&amp;Переменные[[#This Row],[DUT id]]</f>
        <v>TR_OQ_SMP_03_16_3</v>
      </c>
      <c r="H33" s="30" t="s">
        <v>248</v>
      </c>
      <c r="I33" s="33">
        <v>45800</v>
      </c>
      <c r="J33" s="30">
        <v>22</v>
      </c>
      <c r="K33" s="30">
        <v>67</v>
      </c>
      <c r="L33" s="30" t="s">
        <v>245</v>
      </c>
      <c r="M33" s="30" t="s">
        <v>243</v>
      </c>
      <c r="N33" s="30" t="s">
        <v>197</v>
      </c>
      <c r="O33" s="31" t="s">
        <v>203</v>
      </c>
      <c r="P33" s="31">
        <v>11.73</v>
      </c>
      <c r="Q33" s="30">
        <v>0.35</v>
      </c>
      <c r="R33" s="30">
        <v>0.48</v>
      </c>
      <c r="S33" s="30">
        <v>1.4</v>
      </c>
      <c r="T33" s="30">
        <v>6.92</v>
      </c>
      <c r="U33" s="35">
        <v>1.96</v>
      </c>
      <c r="V33" s="35">
        <v>2.1800000000000002</v>
      </c>
    </row>
    <row r="34" spans="1:22" ht="12" customHeight="1" thickBot="1" x14ac:dyDescent="0.3">
      <c r="A34" s="22" t="str">
        <f>Переменные[[#This Row],[TestReportID]]</f>
        <v>TR_OQ_SMP_03_10_1</v>
      </c>
      <c r="B34" s="36" t="str">
        <f>"да"</f>
        <v>да</v>
      </c>
      <c r="C34" s="25" t="str">
        <f t="shared" si="9"/>
        <v>Val_2 OQ Sample parameters report template</v>
      </c>
      <c r="D34" s="33">
        <v>45793</v>
      </c>
      <c r="E34" s="36" t="str">
        <f ca="1">TEXT(TODAY(), "ГГГГ-ММ-ДД")</f>
        <v>2025-05-23</v>
      </c>
      <c r="F34" s="25" t="str">
        <f>" ☑  ☐  ☒ "</f>
        <v xml:space="preserve"> ☑  ☐  ☒ </v>
      </c>
      <c r="G34" s="32" t="str">
        <f>"TR_OQ_SMP_"&amp;Переменные[[#This Row],[DUT id]]</f>
        <v>TR_OQ_SMP_03_10_1</v>
      </c>
      <c r="H34" s="30" t="s">
        <v>248</v>
      </c>
      <c r="I34" s="33">
        <v>45800</v>
      </c>
      <c r="J34" s="30">
        <v>22</v>
      </c>
      <c r="K34" s="30">
        <v>67</v>
      </c>
      <c r="L34" s="30" t="s">
        <v>245</v>
      </c>
      <c r="M34" s="30" t="s">
        <v>243</v>
      </c>
      <c r="N34" s="30" t="s">
        <v>197</v>
      </c>
      <c r="O34" s="31" t="s">
        <v>204</v>
      </c>
      <c r="P34" s="31">
        <v>11.56</v>
      </c>
      <c r="Q34" s="30">
        <v>0.33</v>
      </c>
      <c r="R34" s="30">
        <v>0.54</v>
      </c>
      <c r="S34" s="30">
        <v>1.4</v>
      </c>
      <c r="T34" s="30">
        <v>6.73</v>
      </c>
      <c r="U34" s="35">
        <v>1.96</v>
      </c>
      <c r="V34" s="35">
        <v>2.35</v>
      </c>
    </row>
    <row r="35" spans="1:22" ht="12" customHeight="1" thickBot="1" x14ac:dyDescent="0.3">
      <c r="A35" s="21" t="str">
        <f>Переменные[[#This Row],[TestReportID]]</f>
        <v>TR_OQ_SMP_03_10_2</v>
      </c>
      <c r="B35" s="35" t="str">
        <f t="shared" ref="B35:B36" si="30">"да"</f>
        <v>да</v>
      </c>
      <c r="C35" s="24" t="str">
        <f t="shared" si="9"/>
        <v>Val_2 OQ Sample parameters report template</v>
      </c>
      <c r="D35" s="33">
        <v>45793</v>
      </c>
      <c r="E35" s="35" t="str">
        <f t="shared" ref="E35:E36" ca="1" si="31">TEXT(TODAY(), "ГГГГ-ММ-ДД")</f>
        <v>2025-05-23</v>
      </c>
      <c r="F35" s="24" t="str">
        <f t="shared" ref="F35:F36" si="32">" ☑  ☐  ☒ "</f>
        <v xml:space="preserve"> ☑  ☐  ☒ </v>
      </c>
      <c r="G35" s="32" t="str">
        <f>"TR_OQ_SMP_"&amp;Переменные[[#This Row],[DUT id]]</f>
        <v>TR_OQ_SMP_03_10_2</v>
      </c>
      <c r="H35" s="30" t="s">
        <v>248</v>
      </c>
      <c r="I35" s="33">
        <v>45800</v>
      </c>
      <c r="J35" s="30">
        <v>22</v>
      </c>
      <c r="K35" s="30">
        <v>67</v>
      </c>
      <c r="L35" s="30" t="s">
        <v>245</v>
      </c>
      <c r="M35" s="30" t="s">
        <v>243</v>
      </c>
      <c r="N35" s="30" t="s">
        <v>197</v>
      </c>
      <c r="O35" s="31" t="s">
        <v>205</v>
      </c>
      <c r="P35" s="31">
        <v>11.61</v>
      </c>
      <c r="Q35" s="30">
        <v>0.5</v>
      </c>
      <c r="R35" s="30">
        <v>0.36</v>
      </c>
      <c r="S35" s="30">
        <v>1.4</v>
      </c>
      <c r="T35" s="30">
        <v>6.85</v>
      </c>
      <c r="U35" s="35">
        <v>1.93</v>
      </c>
      <c r="V35" s="35">
        <v>2.29</v>
      </c>
    </row>
    <row r="36" spans="1:22" ht="12" customHeight="1" thickBot="1" x14ac:dyDescent="0.3">
      <c r="A36" s="21" t="str">
        <f>Переменные[[#This Row],[TestReportID]]</f>
        <v>TR_OQ_SMP_03_10_3</v>
      </c>
      <c r="B36" s="35" t="str">
        <f t="shared" si="30"/>
        <v>да</v>
      </c>
      <c r="C36" s="24" t="str">
        <f t="shared" si="9"/>
        <v>Val_2 OQ Sample parameters report template</v>
      </c>
      <c r="D36" s="33">
        <v>45793</v>
      </c>
      <c r="E36" s="35" t="str">
        <f t="shared" ca="1" si="31"/>
        <v>2025-05-23</v>
      </c>
      <c r="F36" s="24" t="str">
        <f t="shared" si="32"/>
        <v xml:space="preserve"> ☑  ☐  ☒ </v>
      </c>
      <c r="G36" s="32" t="str">
        <f>"TR_OQ_SMP_"&amp;Переменные[[#This Row],[DUT id]]</f>
        <v>TR_OQ_SMP_03_10_3</v>
      </c>
      <c r="H36" s="30" t="s">
        <v>248</v>
      </c>
      <c r="I36" s="33">
        <v>45800</v>
      </c>
      <c r="J36" s="30">
        <v>22</v>
      </c>
      <c r="K36" s="30">
        <v>67</v>
      </c>
      <c r="L36" s="30" t="s">
        <v>245</v>
      </c>
      <c r="M36" s="30" t="s">
        <v>243</v>
      </c>
      <c r="N36" s="30" t="s">
        <v>197</v>
      </c>
      <c r="O36" s="31" t="s">
        <v>206</v>
      </c>
      <c r="P36" s="31">
        <v>11.55</v>
      </c>
      <c r="Q36" s="30">
        <v>0.4</v>
      </c>
      <c r="R36" s="30">
        <v>0.45</v>
      </c>
      <c r="S36" s="30">
        <v>1.4</v>
      </c>
      <c r="T36" s="30">
        <v>6.75</v>
      </c>
      <c r="U36" s="35">
        <v>1.99</v>
      </c>
      <c r="V36" s="35">
        <v>2.2599999999999998</v>
      </c>
    </row>
    <row r="37" spans="1:22" ht="12" customHeight="1" thickBot="1" x14ac:dyDescent="0.3">
      <c r="A37" s="22" t="str">
        <f>Переменные[[#This Row],[TestReportID]]</f>
        <v>TR_OQ_SMP_03_12_1</v>
      </c>
      <c r="B37" s="36" t="str">
        <f>"да"</f>
        <v>да</v>
      </c>
      <c r="C37" s="25" t="str">
        <f t="shared" si="9"/>
        <v>Val_2 OQ Sample parameters report template</v>
      </c>
      <c r="D37" s="33">
        <v>45793</v>
      </c>
      <c r="E37" s="36" t="str">
        <f ca="1">TEXT(TODAY(), "ГГГГ-ММ-ДД")</f>
        <v>2025-05-23</v>
      </c>
      <c r="F37" s="25" t="str">
        <f>" ☑  ☐  ☒ "</f>
        <v xml:space="preserve"> ☑  ☐  ☒ </v>
      </c>
      <c r="G37" s="32" t="str">
        <f>"TR_OQ_SMP_"&amp;Переменные[[#This Row],[DUT id]]</f>
        <v>TR_OQ_SMP_03_12_1</v>
      </c>
      <c r="H37" s="30" t="s">
        <v>248</v>
      </c>
      <c r="I37" s="33">
        <v>45800</v>
      </c>
      <c r="J37" s="30">
        <v>22</v>
      </c>
      <c r="K37" s="30">
        <v>67</v>
      </c>
      <c r="L37" s="30" t="s">
        <v>245</v>
      </c>
      <c r="M37" s="30" t="s">
        <v>243</v>
      </c>
      <c r="N37" s="30" t="s">
        <v>197</v>
      </c>
      <c r="O37" s="31" t="s">
        <v>207</v>
      </c>
      <c r="P37" s="31">
        <v>11.6</v>
      </c>
      <c r="Q37" s="30">
        <v>0.27</v>
      </c>
      <c r="R37" s="30">
        <v>0.47</v>
      </c>
      <c r="S37" s="30">
        <v>1.4</v>
      </c>
      <c r="T37" s="30">
        <v>6.72</v>
      </c>
      <c r="U37" s="35">
        <v>1.99</v>
      </c>
      <c r="V37" s="35">
        <v>2.33</v>
      </c>
    </row>
    <row r="38" spans="1:22" ht="12" customHeight="1" thickBot="1" x14ac:dyDescent="0.3">
      <c r="A38" s="21" t="str">
        <f>Переменные[[#This Row],[TestReportID]]</f>
        <v>TR_OQ_SMP_03_12_2</v>
      </c>
      <c r="B38" s="35" t="str">
        <f t="shared" ref="B38:B39" si="33">"да"</f>
        <v>да</v>
      </c>
      <c r="C38" s="24" t="str">
        <f t="shared" si="9"/>
        <v>Val_2 OQ Sample parameters report template</v>
      </c>
      <c r="D38" s="33">
        <v>45793</v>
      </c>
      <c r="E38" s="35" t="str">
        <f t="shared" ref="E38:E39" ca="1" si="34">TEXT(TODAY(), "ГГГГ-ММ-ДД")</f>
        <v>2025-05-23</v>
      </c>
      <c r="F38" s="24" t="str">
        <f t="shared" ref="F38:F39" si="35">" ☑  ☐  ☒ "</f>
        <v xml:space="preserve"> ☑  ☐  ☒ </v>
      </c>
      <c r="G38" s="32" t="str">
        <f>"TR_OQ_SMP_"&amp;Переменные[[#This Row],[DUT id]]</f>
        <v>TR_OQ_SMP_03_12_2</v>
      </c>
      <c r="H38" s="30" t="s">
        <v>248</v>
      </c>
      <c r="I38" s="33">
        <v>45800</v>
      </c>
      <c r="J38" s="30">
        <v>22</v>
      </c>
      <c r="K38" s="30">
        <v>67</v>
      </c>
      <c r="L38" s="30" t="s">
        <v>245</v>
      </c>
      <c r="M38" s="30" t="s">
        <v>243</v>
      </c>
      <c r="N38" s="30" t="s">
        <v>197</v>
      </c>
      <c r="O38" s="31" t="s">
        <v>208</v>
      </c>
      <c r="P38" s="31">
        <v>11.6</v>
      </c>
      <c r="Q38" s="30">
        <v>0.28000000000000003</v>
      </c>
      <c r="R38" s="30">
        <v>0.49</v>
      </c>
      <c r="S38" s="30">
        <v>1.4</v>
      </c>
      <c r="T38" s="30">
        <v>6.46</v>
      </c>
      <c r="U38" s="35">
        <v>2.04</v>
      </c>
      <c r="V38" s="35">
        <v>2.52</v>
      </c>
    </row>
    <row r="39" spans="1:22" ht="12" customHeight="1" thickBot="1" x14ac:dyDescent="0.3">
      <c r="A39" s="21" t="str">
        <f>Переменные[[#This Row],[TestReportID]]</f>
        <v>TR_OQ_SMP_03_12_3</v>
      </c>
      <c r="B39" s="35" t="str">
        <f t="shared" si="33"/>
        <v>да</v>
      </c>
      <c r="C39" s="24" t="str">
        <f t="shared" si="9"/>
        <v>Val_2 OQ Sample parameters report template</v>
      </c>
      <c r="D39" s="33">
        <v>45793</v>
      </c>
      <c r="E39" s="35" t="str">
        <f t="shared" ca="1" si="34"/>
        <v>2025-05-23</v>
      </c>
      <c r="F39" s="24" t="str">
        <f t="shared" si="35"/>
        <v xml:space="preserve"> ☑  ☐  ☒ </v>
      </c>
      <c r="G39" s="32" t="str">
        <f>"TR_OQ_SMP_"&amp;Переменные[[#This Row],[DUT id]]</f>
        <v>TR_OQ_SMP_03_12_3</v>
      </c>
      <c r="H39" s="30" t="s">
        <v>248</v>
      </c>
      <c r="I39" s="33">
        <v>45800</v>
      </c>
      <c r="J39" s="30">
        <v>22</v>
      </c>
      <c r="K39" s="30">
        <v>67</v>
      </c>
      <c r="L39" s="30" t="s">
        <v>245</v>
      </c>
      <c r="M39" s="30" t="s">
        <v>243</v>
      </c>
      <c r="N39" s="30" t="s">
        <v>197</v>
      </c>
      <c r="O39" s="31" t="s">
        <v>209</v>
      </c>
      <c r="P39" s="31">
        <v>11.67</v>
      </c>
      <c r="Q39" s="30">
        <v>0.6</v>
      </c>
      <c r="R39" s="30">
        <v>0.39</v>
      </c>
      <c r="S39" s="30">
        <v>1.4</v>
      </c>
      <c r="T39" s="30">
        <v>6.77</v>
      </c>
      <c r="U39" s="35">
        <v>2.19</v>
      </c>
      <c r="V39" s="35">
        <v>2.2000000000000002</v>
      </c>
    </row>
    <row r="40" spans="1:22" ht="12" customHeight="1" thickBot="1" x14ac:dyDescent="0.3">
      <c r="A40" s="22" t="str">
        <f>Переменные[[#This Row],[TestReportID]]</f>
        <v>TR_OQ_SMP_03_14_1</v>
      </c>
      <c r="B40" s="36" t="str">
        <f>"да"</f>
        <v>да</v>
      </c>
      <c r="C40" s="25" t="str">
        <f t="shared" si="9"/>
        <v>Val_2 OQ Sample parameters report template</v>
      </c>
      <c r="D40" s="33">
        <v>45793</v>
      </c>
      <c r="E40" s="36" t="str">
        <f ca="1">TEXT(TODAY(), "ГГГГ-ММ-ДД")</f>
        <v>2025-05-23</v>
      </c>
      <c r="F40" s="25" t="str">
        <f>" ☑  ☐  ☒ "</f>
        <v xml:space="preserve"> ☑  ☐  ☒ </v>
      </c>
      <c r="G40" s="32" t="str">
        <f>"TR_OQ_SMP_"&amp;Переменные[[#This Row],[DUT id]]</f>
        <v>TR_OQ_SMP_03_14_1</v>
      </c>
      <c r="H40" s="30" t="s">
        <v>248</v>
      </c>
      <c r="I40" s="33">
        <v>45800</v>
      </c>
      <c r="J40" s="30">
        <v>22</v>
      </c>
      <c r="K40" s="30">
        <v>67</v>
      </c>
      <c r="L40" s="30" t="s">
        <v>245</v>
      </c>
      <c r="M40" s="30" t="s">
        <v>243</v>
      </c>
      <c r="N40" s="30" t="s">
        <v>197</v>
      </c>
      <c r="O40" s="38" t="s">
        <v>210</v>
      </c>
      <c r="P40" s="38">
        <v>11.56</v>
      </c>
      <c r="Q40" s="30">
        <v>0.2</v>
      </c>
      <c r="R40" s="30">
        <v>0.5</v>
      </c>
      <c r="S40" s="30">
        <v>1.4</v>
      </c>
      <c r="T40" s="30">
        <v>6.7</v>
      </c>
      <c r="U40" s="35">
        <v>2.02</v>
      </c>
      <c r="V40" s="35">
        <v>2.2200000000000002</v>
      </c>
    </row>
    <row r="41" spans="1:22" ht="12" customHeight="1" thickBot="1" x14ac:dyDescent="0.3">
      <c r="A41" s="21" t="str">
        <f>Переменные[[#This Row],[TestReportID]]</f>
        <v>TR_OQ_SMP_03_14_2</v>
      </c>
      <c r="B41" s="35" t="str">
        <f t="shared" ref="B41:B42" si="36">"да"</f>
        <v>да</v>
      </c>
      <c r="C41" s="24" t="str">
        <f t="shared" si="9"/>
        <v>Val_2 OQ Sample parameters report template</v>
      </c>
      <c r="D41" s="33">
        <v>45793</v>
      </c>
      <c r="E41" s="35" t="str">
        <f t="shared" ref="E41:E42" ca="1" si="37">TEXT(TODAY(), "ГГГГ-ММ-ДД")</f>
        <v>2025-05-23</v>
      </c>
      <c r="F41" s="24" t="str">
        <f t="shared" ref="F41:F42" si="38">" ☑  ☐  ☒ "</f>
        <v xml:space="preserve"> ☑  ☐  ☒ </v>
      </c>
      <c r="G41" s="32" t="str">
        <f>"TR_OQ_SMP_"&amp;Переменные[[#This Row],[DUT id]]</f>
        <v>TR_OQ_SMP_03_14_2</v>
      </c>
      <c r="H41" s="30" t="s">
        <v>248</v>
      </c>
      <c r="I41" s="33">
        <v>45800</v>
      </c>
      <c r="J41" s="30">
        <v>22</v>
      </c>
      <c r="K41" s="30">
        <v>67</v>
      </c>
      <c r="L41" s="30" t="s">
        <v>245</v>
      </c>
      <c r="M41" s="30" t="s">
        <v>243</v>
      </c>
      <c r="N41" s="30" t="s">
        <v>197</v>
      </c>
      <c r="O41" s="38" t="s">
        <v>211</v>
      </c>
      <c r="P41" s="38">
        <v>11.57</v>
      </c>
      <c r="Q41" s="30">
        <v>0.32</v>
      </c>
      <c r="R41" s="30">
        <v>0.49</v>
      </c>
      <c r="S41" s="30">
        <v>1.4</v>
      </c>
      <c r="T41" s="30">
        <v>6.56</v>
      </c>
      <c r="U41" s="35">
        <v>1.94</v>
      </c>
      <c r="V41" s="35">
        <v>2.42</v>
      </c>
    </row>
    <row r="42" spans="1:22" ht="12" customHeight="1" thickBot="1" x14ac:dyDescent="0.3">
      <c r="A42" s="21" t="str">
        <f>Переменные[[#This Row],[TestReportID]]</f>
        <v>TR_OQ_SMP_03_14_3</v>
      </c>
      <c r="B42" s="35" t="str">
        <f t="shared" si="36"/>
        <v>да</v>
      </c>
      <c r="C42" s="24" t="str">
        <f t="shared" si="9"/>
        <v>Val_2 OQ Sample parameters report template</v>
      </c>
      <c r="D42" s="33">
        <v>45793</v>
      </c>
      <c r="E42" s="35" t="str">
        <f t="shared" ca="1" si="37"/>
        <v>2025-05-23</v>
      </c>
      <c r="F42" s="24" t="str">
        <f t="shared" si="38"/>
        <v xml:space="preserve"> ☑  ☐  ☒ </v>
      </c>
      <c r="G42" s="32" t="str">
        <f>"TR_OQ_SMP_"&amp;Переменные[[#This Row],[DUT id]]</f>
        <v>TR_OQ_SMP_03_14_3</v>
      </c>
      <c r="H42" s="30" t="s">
        <v>248</v>
      </c>
      <c r="I42" s="33">
        <v>45800</v>
      </c>
      <c r="J42" s="30">
        <v>22</v>
      </c>
      <c r="K42" s="30">
        <v>67</v>
      </c>
      <c r="L42" s="30" t="s">
        <v>245</v>
      </c>
      <c r="M42" s="30" t="s">
        <v>243</v>
      </c>
      <c r="N42" s="30" t="s">
        <v>197</v>
      </c>
      <c r="O42" s="38" t="s">
        <v>212</v>
      </c>
      <c r="P42" s="38">
        <v>11.58</v>
      </c>
      <c r="Q42" s="30">
        <v>0.22</v>
      </c>
      <c r="R42" s="30">
        <v>0.48</v>
      </c>
      <c r="S42" s="30">
        <v>1.4</v>
      </c>
      <c r="T42" s="30">
        <v>6.48</v>
      </c>
      <c r="U42" s="35">
        <v>2.2000000000000002</v>
      </c>
      <c r="V42" s="35">
        <v>2.4300000000000002</v>
      </c>
    </row>
    <row r="43" spans="1:22" ht="12" customHeight="1" thickBot="1" x14ac:dyDescent="0.3">
      <c r="A43" s="22" t="str">
        <f>Переменные[[#This Row],[TestReportID]]</f>
        <v>TR_OQ_SMP_03_13_1</v>
      </c>
      <c r="B43" s="36" t="str">
        <f>"да"</f>
        <v>да</v>
      </c>
      <c r="C43" s="25" t="str">
        <f t="shared" si="9"/>
        <v>Val_2 OQ Sample parameters report template</v>
      </c>
      <c r="D43" s="33">
        <v>45793</v>
      </c>
      <c r="E43" s="36" t="str">
        <f ca="1">TEXT(TODAY(), "ГГГГ-ММ-ДД")</f>
        <v>2025-05-23</v>
      </c>
      <c r="F43" s="25" t="str">
        <f>" ☑  ☐  ☒ "</f>
        <v xml:space="preserve"> ☑  ☐  ☒ </v>
      </c>
      <c r="G43" s="32" t="str">
        <f>"TR_OQ_SMP_"&amp;Переменные[[#This Row],[DUT id]]</f>
        <v>TR_OQ_SMP_03_13_1</v>
      </c>
      <c r="H43" s="30" t="s">
        <v>248</v>
      </c>
      <c r="I43" s="33">
        <v>45800</v>
      </c>
      <c r="J43" s="30">
        <v>22</v>
      </c>
      <c r="K43" s="30">
        <v>67</v>
      </c>
      <c r="L43" s="30" t="s">
        <v>245</v>
      </c>
      <c r="M43" s="30" t="s">
        <v>243</v>
      </c>
      <c r="N43" s="30" t="s">
        <v>197</v>
      </c>
      <c r="O43" s="38" t="s">
        <v>213</v>
      </c>
      <c r="P43" s="38">
        <v>11.56</v>
      </c>
      <c r="Q43" s="30">
        <v>0.3</v>
      </c>
      <c r="R43" s="30">
        <v>0.47</v>
      </c>
      <c r="S43" s="30">
        <v>1.4</v>
      </c>
      <c r="T43" s="30">
        <v>6.19</v>
      </c>
      <c r="U43" s="35">
        <v>2.77</v>
      </c>
      <c r="V43" s="35">
        <v>2.16</v>
      </c>
    </row>
    <row r="44" spans="1:22" ht="12" customHeight="1" thickBot="1" x14ac:dyDescent="0.3">
      <c r="A44" s="21" t="str">
        <f>Переменные[[#This Row],[TestReportID]]</f>
        <v>TR_OQ_SMP_03_13_2</v>
      </c>
      <c r="B44" s="35" t="str">
        <f t="shared" ref="B44:B45" si="39">"да"</f>
        <v>да</v>
      </c>
      <c r="C44" s="24" t="str">
        <f t="shared" si="9"/>
        <v>Val_2 OQ Sample parameters report template</v>
      </c>
      <c r="D44" s="33">
        <v>45793</v>
      </c>
      <c r="E44" s="35" t="str">
        <f t="shared" ref="E44:E45" ca="1" si="40">TEXT(TODAY(), "ГГГГ-ММ-ДД")</f>
        <v>2025-05-23</v>
      </c>
      <c r="F44" s="24" t="str">
        <f t="shared" ref="F44:F45" si="41">" ☑  ☐  ☒ "</f>
        <v xml:space="preserve"> ☑  ☐  ☒ </v>
      </c>
      <c r="G44" s="32" t="str">
        <f>"TR_OQ_SMP_"&amp;Переменные[[#This Row],[DUT id]]</f>
        <v>TR_OQ_SMP_03_13_2</v>
      </c>
      <c r="H44" s="30" t="s">
        <v>248</v>
      </c>
      <c r="I44" s="33">
        <v>45800</v>
      </c>
      <c r="J44" s="30">
        <v>22</v>
      </c>
      <c r="K44" s="30">
        <v>67</v>
      </c>
      <c r="L44" s="30" t="s">
        <v>245</v>
      </c>
      <c r="M44" s="30" t="s">
        <v>243</v>
      </c>
      <c r="N44" s="30" t="s">
        <v>197</v>
      </c>
      <c r="O44" s="38" t="s">
        <v>214</v>
      </c>
      <c r="P44" s="38">
        <v>11.61</v>
      </c>
      <c r="Q44" s="30">
        <v>0.36</v>
      </c>
      <c r="R44" s="30">
        <v>0.49</v>
      </c>
      <c r="S44" s="30">
        <v>1.4</v>
      </c>
      <c r="T44" s="30">
        <v>7.01</v>
      </c>
      <c r="U44" s="35">
        <v>1.86</v>
      </c>
      <c r="V44" s="35">
        <v>2.17</v>
      </c>
    </row>
    <row r="45" spans="1:22" ht="12" customHeight="1" thickBot="1" x14ac:dyDescent="0.3">
      <c r="A45" s="21" t="str">
        <f>Переменные[[#This Row],[TestReportID]]</f>
        <v>TR_OQ_SMP_03_13_3</v>
      </c>
      <c r="B45" s="35" t="str">
        <f t="shared" si="39"/>
        <v>да</v>
      </c>
      <c r="C45" s="24" t="str">
        <f t="shared" si="9"/>
        <v>Val_2 OQ Sample parameters report template</v>
      </c>
      <c r="D45" s="33">
        <v>45793</v>
      </c>
      <c r="E45" s="35" t="str">
        <f t="shared" ca="1" si="40"/>
        <v>2025-05-23</v>
      </c>
      <c r="F45" s="24" t="str">
        <f t="shared" si="41"/>
        <v xml:space="preserve"> ☑  ☐  ☒ </v>
      </c>
      <c r="G45" s="32" t="str">
        <f>"TR_OQ_SMP_"&amp;Переменные[[#This Row],[DUT id]]</f>
        <v>TR_OQ_SMP_03_13_3</v>
      </c>
      <c r="H45" s="30" t="s">
        <v>248</v>
      </c>
      <c r="I45" s="33">
        <v>45800</v>
      </c>
      <c r="J45" s="30">
        <v>22</v>
      </c>
      <c r="K45" s="30">
        <v>67</v>
      </c>
      <c r="L45" s="30" t="s">
        <v>245</v>
      </c>
      <c r="M45" s="30" t="s">
        <v>243</v>
      </c>
      <c r="N45" s="30" t="s">
        <v>197</v>
      </c>
      <c r="O45" s="38" t="s">
        <v>215</v>
      </c>
      <c r="P45" s="38">
        <v>11.6</v>
      </c>
      <c r="Q45" s="30">
        <v>0.31</v>
      </c>
      <c r="R45" s="30">
        <v>0.46</v>
      </c>
      <c r="S45" s="30">
        <v>1.4</v>
      </c>
      <c r="T45" s="30">
        <v>6.24</v>
      </c>
      <c r="U45" s="35">
        <v>2.38</v>
      </c>
      <c r="V45" s="35">
        <v>2.39</v>
      </c>
    </row>
    <row r="46" spans="1:22" ht="12" customHeight="1" thickBot="1" x14ac:dyDescent="0.3">
      <c r="A46" s="22" t="str">
        <f>Переменные[[#This Row],[TestReportID]]</f>
        <v>TR_OQ_SMP_03_15_1</v>
      </c>
      <c r="B46" s="36" t="str">
        <f>"да"</f>
        <v>да</v>
      </c>
      <c r="C46" s="25" t="str">
        <f t="shared" si="9"/>
        <v>Val_2 OQ Sample parameters report template</v>
      </c>
      <c r="D46" s="33">
        <v>45793</v>
      </c>
      <c r="E46" s="36" t="str">
        <f ca="1">TEXT(TODAY(), "ГГГГ-ММ-ДД")</f>
        <v>2025-05-23</v>
      </c>
      <c r="F46" s="25" t="str">
        <f>" ☑  ☐  ☒ "</f>
        <v xml:space="preserve"> ☑  ☐  ☒ </v>
      </c>
      <c r="G46" s="32" t="str">
        <f>"TR_OQ_SMP_"&amp;Переменные[[#This Row],[DUT id]]</f>
        <v>TR_OQ_SMP_03_15_1</v>
      </c>
      <c r="H46" s="30" t="s">
        <v>248</v>
      </c>
      <c r="I46" s="33">
        <v>45800</v>
      </c>
      <c r="J46" s="30">
        <v>22</v>
      </c>
      <c r="K46" s="30">
        <v>67</v>
      </c>
      <c r="L46" s="30" t="s">
        <v>245</v>
      </c>
      <c r="M46" s="30" t="s">
        <v>243</v>
      </c>
      <c r="N46" s="30" t="s">
        <v>197</v>
      </c>
      <c r="O46" s="38" t="s">
        <v>216</v>
      </c>
      <c r="P46" s="38">
        <v>11.58</v>
      </c>
      <c r="Q46" s="30">
        <v>0.28999999999999998</v>
      </c>
      <c r="R46" s="30">
        <v>0.47</v>
      </c>
      <c r="S46" s="30">
        <v>1.4</v>
      </c>
      <c r="T46" s="30">
        <v>6.69</v>
      </c>
      <c r="U46" s="35">
        <v>2.15</v>
      </c>
      <c r="V46" s="35">
        <v>2.13</v>
      </c>
    </row>
    <row r="47" spans="1:22" ht="12" customHeight="1" thickBot="1" x14ac:dyDescent="0.3">
      <c r="A47" s="21" t="str">
        <f>Переменные[[#This Row],[TestReportID]]</f>
        <v>TR_OQ_SMP_03_15_2</v>
      </c>
      <c r="B47" s="35" t="str">
        <f t="shared" ref="B47:B48" si="42">"да"</f>
        <v>да</v>
      </c>
      <c r="C47" s="24" t="str">
        <f t="shared" si="9"/>
        <v>Val_2 OQ Sample parameters report template</v>
      </c>
      <c r="D47" s="33">
        <v>45793</v>
      </c>
      <c r="E47" s="35" t="str">
        <f t="shared" ref="E47:E48" ca="1" si="43">TEXT(TODAY(), "ГГГГ-ММ-ДД")</f>
        <v>2025-05-23</v>
      </c>
      <c r="F47" s="24" t="str">
        <f t="shared" ref="F47:F48" si="44">" ☑  ☐  ☒ "</f>
        <v xml:space="preserve"> ☑  ☐  ☒ </v>
      </c>
      <c r="G47" s="32" t="str">
        <f>"TR_OQ_SMP_"&amp;Переменные[[#This Row],[DUT id]]</f>
        <v>TR_OQ_SMP_03_15_2</v>
      </c>
      <c r="H47" s="30" t="s">
        <v>248</v>
      </c>
      <c r="I47" s="33">
        <v>45800</v>
      </c>
      <c r="J47" s="30">
        <v>22</v>
      </c>
      <c r="K47" s="30">
        <v>67</v>
      </c>
      <c r="L47" s="30" t="s">
        <v>245</v>
      </c>
      <c r="M47" s="30" t="s">
        <v>243</v>
      </c>
      <c r="N47" s="30" t="s">
        <v>197</v>
      </c>
      <c r="O47" s="38" t="s">
        <v>217</v>
      </c>
      <c r="P47" s="38">
        <v>11.54</v>
      </c>
      <c r="Q47" s="30">
        <v>0.23</v>
      </c>
      <c r="R47" s="30">
        <v>0.48</v>
      </c>
      <c r="S47" s="30">
        <v>1.4</v>
      </c>
      <c r="T47" s="30">
        <v>6.69</v>
      </c>
      <c r="U47" s="35">
        <v>1.96</v>
      </c>
      <c r="V47" s="35">
        <v>2.25</v>
      </c>
    </row>
    <row r="48" spans="1:22" ht="12" customHeight="1" thickBot="1" x14ac:dyDescent="0.3">
      <c r="A48" s="21" t="str">
        <f>Переменные[[#This Row],[TestReportID]]</f>
        <v>TR_OQ_SMP_03_15_3</v>
      </c>
      <c r="B48" s="35" t="str">
        <f t="shared" si="42"/>
        <v>да</v>
      </c>
      <c r="C48" s="24" t="str">
        <f t="shared" si="9"/>
        <v>Val_2 OQ Sample parameters report template</v>
      </c>
      <c r="D48" s="33">
        <v>45793</v>
      </c>
      <c r="E48" s="35" t="str">
        <f t="shared" ca="1" si="43"/>
        <v>2025-05-23</v>
      </c>
      <c r="F48" s="24" t="str">
        <f t="shared" si="44"/>
        <v xml:space="preserve"> ☑  ☐  ☒ </v>
      </c>
      <c r="G48" s="32" t="str">
        <f>"TR_OQ_SMP_"&amp;Переменные[[#This Row],[DUT id]]</f>
        <v>TR_OQ_SMP_03_15_3</v>
      </c>
      <c r="H48" s="30" t="s">
        <v>248</v>
      </c>
      <c r="I48" s="33">
        <v>45800</v>
      </c>
      <c r="J48" s="30">
        <v>22</v>
      </c>
      <c r="K48" s="30">
        <v>67</v>
      </c>
      <c r="L48" s="30" t="s">
        <v>245</v>
      </c>
      <c r="M48" s="30" t="s">
        <v>243</v>
      </c>
      <c r="N48" s="30" t="s">
        <v>197</v>
      </c>
      <c r="O48" s="38" t="s">
        <v>218</v>
      </c>
      <c r="P48" s="38">
        <v>11.57</v>
      </c>
      <c r="Q48" s="30">
        <v>0.31</v>
      </c>
      <c r="R48" s="30">
        <v>0.45</v>
      </c>
      <c r="S48" s="30">
        <v>1.4</v>
      </c>
      <c r="T48" s="30">
        <v>7.25</v>
      </c>
      <c r="U48" s="35">
        <v>2.2400000000000002</v>
      </c>
      <c r="V48" s="35">
        <v>1.46</v>
      </c>
    </row>
    <row r="49" spans="1:22" ht="12" customHeight="1" thickBot="1" x14ac:dyDescent="0.3">
      <c r="A49" s="22" t="str">
        <f>Переменные[[#This Row],[TestReportID]]</f>
        <v>TR_OQ_SMP_03_11_1</v>
      </c>
      <c r="B49" s="36" t="str">
        <f>"да"</f>
        <v>да</v>
      </c>
      <c r="C49" s="25" t="str">
        <f t="shared" si="9"/>
        <v>Val_2 OQ Sample parameters report template</v>
      </c>
      <c r="D49" s="33">
        <v>45793</v>
      </c>
      <c r="E49" s="36" t="str">
        <f ca="1">TEXT(TODAY(), "ГГГГ-ММ-ДД")</f>
        <v>2025-05-23</v>
      </c>
      <c r="F49" s="25" t="str">
        <f>" ☑  ☐  ☒ "</f>
        <v xml:space="preserve"> ☑  ☐  ☒ </v>
      </c>
      <c r="G49" s="32" t="str">
        <f>"TR_OQ_SMP_"&amp;Переменные[[#This Row],[DUT id]]</f>
        <v>TR_OQ_SMP_03_11_1</v>
      </c>
      <c r="H49" s="30" t="s">
        <v>248</v>
      </c>
      <c r="I49" s="33">
        <v>45800</v>
      </c>
      <c r="J49" s="30">
        <v>22</v>
      </c>
      <c r="K49" s="30">
        <v>67</v>
      </c>
      <c r="L49" s="30" t="s">
        <v>245</v>
      </c>
      <c r="M49" s="30" t="s">
        <v>243</v>
      </c>
      <c r="N49" s="30" t="s">
        <v>197</v>
      </c>
      <c r="O49" s="38" t="s">
        <v>219</v>
      </c>
      <c r="P49" s="38">
        <v>11.59</v>
      </c>
      <c r="Q49" s="30">
        <v>0.24</v>
      </c>
      <c r="R49" s="30">
        <v>0.49</v>
      </c>
      <c r="S49" s="30">
        <v>1.4</v>
      </c>
      <c r="T49" s="30">
        <v>6.76</v>
      </c>
      <c r="U49" s="35">
        <v>2.36</v>
      </c>
      <c r="V49" s="35">
        <v>2</v>
      </c>
    </row>
    <row r="50" spans="1:22" ht="12" customHeight="1" thickBot="1" x14ac:dyDescent="0.3">
      <c r="A50" s="21" t="str">
        <f>Переменные[[#This Row],[TestReportID]]</f>
        <v>TR_OQ_SMP_03_11_2</v>
      </c>
      <c r="B50" s="35" t="str">
        <f t="shared" ref="B50:B51" si="45">"да"</f>
        <v>да</v>
      </c>
      <c r="C50" s="24" t="str">
        <f t="shared" si="9"/>
        <v>Val_2 OQ Sample parameters report template</v>
      </c>
      <c r="D50" s="33">
        <v>45793</v>
      </c>
      <c r="E50" s="35" t="str">
        <f t="shared" ref="E50:E51" ca="1" si="46">TEXT(TODAY(), "ГГГГ-ММ-ДД")</f>
        <v>2025-05-23</v>
      </c>
      <c r="F50" s="24" t="str">
        <f t="shared" ref="F50:F51" si="47">" ☑  ☐  ☒ "</f>
        <v xml:space="preserve"> ☑  ☐  ☒ </v>
      </c>
      <c r="G50" s="32" t="str">
        <f>"TR_OQ_SMP_"&amp;Переменные[[#This Row],[DUT id]]</f>
        <v>TR_OQ_SMP_03_11_2</v>
      </c>
      <c r="H50" s="30" t="s">
        <v>248</v>
      </c>
      <c r="I50" s="33">
        <v>45800</v>
      </c>
      <c r="J50" s="30">
        <v>22</v>
      </c>
      <c r="K50" s="30">
        <v>67</v>
      </c>
      <c r="L50" s="30" t="s">
        <v>245</v>
      </c>
      <c r="M50" s="30" t="s">
        <v>243</v>
      </c>
      <c r="N50" s="30" t="s">
        <v>197</v>
      </c>
      <c r="O50" s="38" t="s">
        <v>220</v>
      </c>
      <c r="P50" s="38">
        <v>11.62</v>
      </c>
      <c r="Q50" s="30">
        <v>0.45</v>
      </c>
      <c r="R50" s="30">
        <v>0.46</v>
      </c>
      <c r="S50" s="30">
        <v>1.4</v>
      </c>
      <c r="T50" s="30">
        <v>6.46</v>
      </c>
      <c r="U50" s="35">
        <v>2.3199999999999998</v>
      </c>
      <c r="V50" s="35">
        <v>2.13</v>
      </c>
    </row>
    <row r="51" spans="1:22" ht="12" customHeight="1" thickBot="1" x14ac:dyDescent="0.3">
      <c r="A51" s="21" t="str">
        <f>Переменные[[#This Row],[TestReportID]]</f>
        <v>TR_OQ_SMP_03_11_3</v>
      </c>
      <c r="B51" s="35" t="str">
        <f t="shared" si="45"/>
        <v>да</v>
      </c>
      <c r="C51" s="24" t="str">
        <f t="shared" si="9"/>
        <v>Val_2 OQ Sample parameters report template</v>
      </c>
      <c r="D51" s="33">
        <v>45793</v>
      </c>
      <c r="E51" s="35" t="str">
        <f t="shared" ca="1" si="46"/>
        <v>2025-05-23</v>
      </c>
      <c r="F51" s="24" t="str">
        <f t="shared" si="47"/>
        <v xml:space="preserve"> ☑  ☐  ☒ </v>
      </c>
      <c r="G51" s="32" t="str">
        <f>"TR_OQ_SMP_"&amp;Переменные[[#This Row],[DUT id]]</f>
        <v>TR_OQ_SMP_03_11_3</v>
      </c>
      <c r="H51" s="30" t="s">
        <v>248</v>
      </c>
      <c r="I51" s="33">
        <v>45800</v>
      </c>
      <c r="J51" s="30">
        <v>22</v>
      </c>
      <c r="K51" s="30">
        <v>67</v>
      </c>
      <c r="L51" s="30" t="s">
        <v>245</v>
      </c>
      <c r="M51" s="30" t="s">
        <v>243</v>
      </c>
      <c r="N51" s="30" t="s">
        <v>197</v>
      </c>
      <c r="O51" s="38" t="s">
        <v>221</v>
      </c>
      <c r="P51" s="38">
        <v>11.59</v>
      </c>
      <c r="Q51" s="30">
        <v>0.44</v>
      </c>
      <c r="R51" s="30">
        <v>0.43</v>
      </c>
      <c r="S51" s="30">
        <v>1.4</v>
      </c>
      <c r="T51" s="30">
        <v>6.87</v>
      </c>
      <c r="U51" s="35">
        <v>2.02</v>
      </c>
      <c r="V51" s="35">
        <v>2.06</v>
      </c>
    </row>
    <row r="52" spans="1:22" x14ac:dyDescent="0.25">
      <c r="G52" s="23"/>
    </row>
    <row r="53" spans="1:22" x14ac:dyDescent="0.25">
      <c r="G53" s="23"/>
    </row>
    <row r="54" spans="1:22" x14ac:dyDescent="0.25">
      <c r="G54" s="23"/>
    </row>
    <row r="55" spans="1:22" x14ac:dyDescent="0.25">
      <c r="G55" s="23"/>
    </row>
    <row r="56" spans="1:22" x14ac:dyDescent="0.25">
      <c r="G56" s="23"/>
    </row>
    <row r="57" spans="1:22" x14ac:dyDescent="0.25">
      <c r="G57" s="23"/>
    </row>
    <row r="58" spans="1:22" x14ac:dyDescent="0.25">
      <c r="G58" s="23"/>
    </row>
    <row r="59" spans="1:22" x14ac:dyDescent="0.25">
      <c r="G59" s="23"/>
    </row>
    <row r="60" spans="1:22" x14ac:dyDescent="0.25">
      <c r="G60" s="23"/>
    </row>
    <row r="61" spans="1:22" x14ac:dyDescent="0.25">
      <c r="G61" s="23"/>
    </row>
    <row r="62" spans="1:22" x14ac:dyDescent="0.25">
      <c r="G62" s="23"/>
    </row>
    <row r="63" spans="1:22" x14ac:dyDescent="0.25">
      <c r="G63" s="23"/>
    </row>
    <row r="64" spans="1:22" x14ac:dyDescent="0.25">
      <c r="G64" s="23"/>
    </row>
    <row r="65" spans="7:7" x14ac:dyDescent="0.25">
      <c r="G65" s="23"/>
    </row>
    <row r="66" spans="7:7" x14ac:dyDescent="0.25">
      <c r="G66" s="23"/>
    </row>
    <row r="67" spans="7:7" x14ac:dyDescent="0.25">
      <c r="G67" s="23"/>
    </row>
    <row r="68" spans="7:7" x14ac:dyDescent="0.25">
      <c r="G68" s="23"/>
    </row>
    <row r="69" spans="7:7" x14ac:dyDescent="0.25">
      <c r="G69" s="23"/>
    </row>
    <row r="70" spans="7:7" x14ac:dyDescent="0.25">
      <c r="G70" s="23"/>
    </row>
    <row r="71" spans="7:7" x14ac:dyDescent="0.25">
      <c r="G71" s="23"/>
    </row>
    <row r="72" spans="7:7" x14ac:dyDescent="0.25">
      <c r="G72" s="23"/>
    </row>
  </sheetData>
  <phoneticPr fontId="4" type="noConversion"/>
  <pageMargins left="0.7" right="0.7" top="0.75" bottom="0.75" header="0.3" footer="0.3"/>
  <pageSetup orientation="portrait" r:id="rId1"/>
  <ignoredErrors>
    <ignoredError sqref="D4" calculatedColumn="1"/>
  </ignoredErrors>
  <drawing r:id="rId2"/>
  <legacyDrawing r:id="rId3"/>
  <controls>
    <mc:AlternateContent xmlns:mc="http://schemas.openxmlformats.org/markup-compatibility/2006">
      <mc:Choice Requires="x14">
        <control shapeId="5127" r:id="rId4" name="show_all_col">
          <controlPr defaultSize="0" autoLine="0" r:id="rId5">
            <anchor>
              <from>
                <xdr:col>5</xdr:col>
                <xdr:colOff>866775</xdr:colOff>
                <xdr:row>0</xdr:row>
                <xdr:rowOff>104775</xdr:rowOff>
              </from>
              <to>
                <xdr:col>6</xdr:col>
                <xdr:colOff>152400</xdr:colOff>
                <xdr:row>0</xdr:row>
                <xdr:rowOff>428625</xdr:rowOff>
              </to>
            </anchor>
          </controlPr>
        </control>
      </mc:Choice>
      <mc:Fallback>
        <control shapeId="5127" r:id="rId4" name="show_all_col"/>
      </mc:Fallback>
    </mc:AlternateContent>
    <mc:AlternateContent xmlns:mc="http://schemas.openxmlformats.org/markup-compatibility/2006">
      <mc:Choice Requires="x14">
        <control shapeId="5126" r:id="rId6" name="show_10_col_until_50">
          <controlPr defaultSize="0" autoLine="0" r:id="rId7">
            <anchor>
              <from>
                <xdr:col>7</xdr:col>
                <xdr:colOff>590550</xdr:colOff>
                <xdr:row>0</xdr:row>
                <xdr:rowOff>104775</xdr:rowOff>
              </from>
              <to>
                <xdr:col>8</xdr:col>
                <xdr:colOff>219075</xdr:colOff>
                <xdr:row>0</xdr:row>
                <xdr:rowOff>428625</xdr:rowOff>
              </to>
            </anchor>
          </controlPr>
        </control>
      </mc:Choice>
      <mc:Fallback>
        <control shapeId="5126" r:id="rId6" name="show_10_col_until_50"/>
      </mc:Fallback>
    </mc:AlternateContent>
    <mc:AlternateContent xmlns:mc="http://schemas.openxmlformats.org/markup-compatibility/2006">
      <mc:Choice Requires="x14">
        <control shapeId="5125" r:id="rId8" name="show_10_col_until_40">
          <controlPr defaultSize="0" autoLine="0" r:id="rId9">
            <anchor>
              <from>
                <xdr:col>7</xdr:col>
                <xdr:colOff>152400</xdr:colOff>
                <xdr:row>0</xdr:row>
                <xdr:rowOff>104775</xdr:rowOff>
              </from>
              <to>
                <xdr:col>7</xdr:col>
                <xdr:colOff>542925</xdr:colOff>
                <xdr:row>0</xdr:row>
                <xdr:rowOff>428625</xdr:rowOff>
              </to>
            </anchor>
          </controlPr>
        </control>
      </mc:Choice>
      <mc:Fallback>
        <control shapeId="5125" r:id="rId8" name="show_10_col_until_40"/>
      </mc:Fallback>
    </mc:AlternateContent>
    <mc:AlternateContent xmlns:mc="http://schemas.openxmlformats.org/markup-compatibility/2006">
      <mc:Choice Requires="x14">
        <control shapeId="5124" r:id="rId10" name="show_10_col_until_30">
          <controlPr defaultSize="0" autoLine="0" r:id="rId11">
            <anchor>
              <from>
                <xdr:col>6</xdr:col>
                <xdr:colOff>1038225</xdr:colOff>
                <xdr:row>0</xdr:row>
                <xdr:rowOff>104775</xdr:rowOff>
              </from>
              <to>
                <xdr:col>7</xdr:col>
                <xdr:colOff>123825</xdr:colOff>
                <xdr:row>0</xdr:row>
                <xdr:rowOff>428625</xdr:rowOff>
              </to>
            </anchor>
          </controlPr>
        </control>
      </mc:Choice>
      <mc:Fallback>
        <control shapeId="5124" r:id="rId10" name="show_10_col_until_30"/>
      </mc:Fallback>
    </mc:AlternateContent>
    <mc:AlternateContent xmlns:mc="http://schemas.openxmlformats.org/markup-compatibility/2006">
      <mc:Choice Requires="x14">
        <control shapeId="5123" r:id="rId12" name="show_10_col_until_20">
          <controlPr defaultSize="0" autoLine="0" r:id="rId13">
            <anchor>
              <from>
                <xdr:col>6</xdr:col>
                <xdr:colOff>628650</xdr:colOff>
                <xdr:row>0</xdr:row>
                <xdr:rowOff>104775</xdr:rowOff>
              </from>
              <to>
                <xdr:col>6</xdr:col>
                <xdr:colOff>1000125</xdr:colOff>
                <xdr:row>0</xdr:row>
                <xdr:rowOff>428625</xdr:rowOff>
              </to>
            </anchor>
          </controlPr>
        </control>
      </mc:Choice>
      <mc:Fallback>
        <control shapeId="5123" r:id="rId12" name="show_10_col_until_20"/>
      </mc:Fallback>
    </mc:AlternateContent>
    <mc:AlternateContent xmlns:mc="http://schemas.openxmlformats.org/markup-compatibility/2006">
      <mc:Choice Requires="x14">
        <control shapeId="5122" r:id="rId14" name="show_10_col_until_10">
          <controlPr defaultSize="0" autoLine="0" r:id="rId15">
            <anchor>
              <from>
                <xdr:col>6</xdr:col>
                <xdr:colOff>190500</xdr:colOff>
                <xdr:row>0</xdr:row>
                <xdr:rowOff>104775</xdr:rowOff>
              </from>
              <to>
                <xdr:col>6</xdr:col>
                <xdr:colOff>571500</xdr:colOff>
                <xdr:row>0</xdr:row>
                <xdr:rowOff>428625</xdr:rowOff>
              </to>
            </anchor>
          </controlPr>
        </control>
      </mc:Choice>
      <mc:Fallback>
        <control shapeId="5122" r:id="rId14" name="show_10_col_until_10"/>
      </mc:Fallback>
    </mc:AlternateContent>
    <mc:AlternateContent xmlns:mc="http://schemas.openxmlformats.org/markup-compatibility/2006">
      <mc:Choice Requires="x14">
        <control shapeId="5121" r:id="rId16" name="Run_Doc_Filler">
          <controlPr defaultSize="0" autoLine="0" r:id="rId17">
            <anchor>
              <from>
                <xdr:col>2</xdr:col>
                <xdr:colOff>847725</xdr:colOff>
                <xdr:row>0</xdr:row>
                <xdr:rowOff>104775</xdr:rowOff>
              </from>
              <to>
                <xdr:col>4</xdr:col>
                <xdr:colOff>381000</xdr:colOff>
                <xdr:row>0</xdr:row>
                <xdr:rowOff>428625</xdr:rowOff>
              </to>
            </anchor>
          </controlPr>
        </control>
      </mc:Choice>
      <mc:Fallback>
        <control shapeId="5121" r:id="rId16" name="Run_Doc_Filler"/>
      </mc:Fallback>
    </mc:AlternateContent>
    <mc:AlternateContent xmlns:mc="http://schemas.openxmlformats.org/markup-compatibility/2006">
      <mc:Choice Requires="x14">
        <control shapeId="5128" r:id="rId18" name="Open_Template">
          <controlPr defaultSize="0" autoLine="0" r:id="rId19">
            <anchor>
              <from>
                <xdr:col>4</xdr:col>
                <xdr:colOff>428625</xdr:colOff>
                <xdr:row>0</xdr:row>
                <xdr:rowOff>104775</xdr:rowOff>
              </from>
              <to>
                <xdr:col>5</xdr:col>
                <xdr:colOff>447675</xdr:colOff>
                <xdr:row>0</xdr:row>
                <xdr:rowOff>428625</xdr:rowOff>
              </to>
            </anchor>
          </controlPr>
        </control>
      </mc:Choice>
      <mc:Fallback>
        <control shapeId="5128" r:id="rId18" name="Open_Template"/>
      </mc:Fallback>
    </mc:AlternateContent>
  </controls>
  <tableParts count="1">
    <tablePart r:id="rId2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Variables_table">
    <tabColor theme="5" tint="-0.249977111117893"/>
  </sheetPr>
  <dimension ref="A1:F6"/>
  <sheetViews>
    <sheetView zoomScale="130" zoomScaleNormal="130" workbookViewId="0">
      <pane ySplit="3" topLeftCell="A4" activePane="bottomLeft" state="frozen"/>
      <selection activeCell="C12" sqref="C12"/>
      <selection pane="bottomLeft" activeCell="D17" sqref="D17"/>
    </sheetView>
  </sheetViews>
  <sheetFormatPr defaultColWidth="18.7109375" defaultRowHeight="15" x14ac:dyDescent="0.25"/>
  <cols>
    <col min="1" max="1" width="7.5703125" style="1" customWidth="1"/>
    <col min="2" max="4" width="37.85546875" style="1" customWidth="1"/>
    <col min="5" max="5" width="37.85546875" customWidth="1"/>
    <col min="6" max="6" width="37.85546875" style="1" customWidth="1"/>
    <col min="7" max="42" width="18.7109375" style="1" customWidth="1"/>
    <col min="43" max="16384" width="18.7109375" style="1"/>
  </cols>
  <sheetData>
    <row r="1" spans="1:6" s="7" customFormat="1" ht="39.950000000000003" customHeight="1" x14ac:dyDescent="0.25">
      <c r="A1" s="6" t="s">
        <v>17</v>
      </c>
      <c r="B1" s="6"/>
      <c r="C1" s="6"/>
      <c r="D1" s="6"/>
    </row>
    <row r="2" spans="1:6" x14ac:dyDescent="0.25">
      <c r="B2" s="8" t="s">
        <v>146</v>
      </c>
      <c r="C2" s="8" t="s">
        <v>159</v>
      </c>
      <c r="D2" s="8" t="s">
        <v>160</v>
      </c>
      <c r="E2" s="15" t="s">
        <v>176</v>
      </c>
      <c r="F2" s="15" t="s">
        <v>169</v>
      </c>
    </row>
    <row r="3" spans="1:6" s="3" customFormat="1" x14ac:dyDescent="0.25">
      <c r="A3" s="3" t="s">
        <v>163</v>
      </c>
      <c r="B3" s="3" t="s">
        <v>7</v>
      </c>
      <c r="C3" s="3" t="s">
        <v>149</v>
      </c>
      <c r="D3" s="3" t="s">
        <v>150</v>
      </c>
      <c r="E3" s="3" t="s">
        <v>142</v>
      </c>
      <c r="F3" s="3" t="s">
        <v>168</v>
      </c>
    </row>
    <row r="4" spans="1:6" x14ac:dyDescent="0.25">
      <c r="A4" s="1" cm="1">
        <f t="array" ref="A4">ROW()-ROW(Переменные_таблиц[#Headers])</f>
        <v>1</v>
      </c>
      <c r="B4" s="1" t="s">
        <v>147</v>
      </c>
      <c r="C4" s="1" t="s">
        <v>14</v>
      </c>
      <c r="D4" s="1" t="s">
        <v>144</v>
      </c>
      <c r="E4" s="1" t="s">
        <v>148</v>
      </c>
      <c r="F4" s="1" t="s">
        <v>151</v>
      </c>
    </row>
    <row r="5" spans="1:6" x14ac:dyDescent="0.25">
      <c r="A5" s="1" cm="1">
        <f t="array" ref="A5">ROW()-ROW(Переменные_таблиц[#Headers])</f>
        <v>2</v>
      </c>
      <c r="B5" s="1" t="s">
        <v>152</v>
      </c>
      <c r="C5" s="1" t="s">
        <v>16</v>
      </c>
      <c r="D5" s="1" t="s">
        <v>145</v>
      </c>
      <c r="E5" s="1" t="s">
        <v>151</v>
      </c>
      <c r="F5" s="1" t="s">
        <v>148</v>
      </c>
    </row>
    <row r="6" spans="1:6" x14ac:dyDescent="0.25">
      <c r="A6" s="1" cm="1">
        <f t="array" ref="A6">ROW()-ROW(Переменные_таблиц[#Headers])</f>
        <v>3</v>
      </c>
      <c r="B6" s="1" t="s">
        <v>175</v>
      </c>
      <c r="C6" s="1" t="s">
        <v>14</v>
      </c>
      <c r="D6" s="1" t="s">
        <v>144</v>
      </c>
      <c r="E6" s="1" t="s">
        <v>148</v>
      </c>
      <c r="F6" s="1" t="s">
        <v>151</v>
      </c>
    </row>
  </sheetData>
  <phoneticPr fontId="4" type="noConversion"/>
  <dataValidations count="1">
    <dataValidation type="list" allowBlank="1" showInputMessage="1" showErrorMessage="1" sqref="E4:F1048576">
      <formula1>"да, нет"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Run_Doc_Filler">
          <controlPr defaultSize="0" autoLine="0" r:id="rId5">
            <anchor>
              <from>
                <xdr:col>2</xdr:col>
                <xdr:colOff>19050</xdr:colOff>
                <xdr:row>0</xdr:row>
                <xdr:rowOff>95250</xdr:rowOff>
              </from>
              <to>
                <xdr:col>2</xdr:col>
                <xdr:colOff>1552575</xdr:colOff>
                <xdr:row>0</xdr:row>
                <xdr:rowOff>419100</xdr:rowOff>
              </to>
            </anchor>
          </controlPr>
        </control>
      </mc:Choice>
      <mc:Fallback>
        <control shapeId="10241" r:id="rId4" name="Run_Doc_Filler"/>
      </mc:Fallback>
    </mc:AlternateContent>
    <mc:AlternateContent xmlns:mc="http://schemas.openxmlformats.org/markup-compatibility/2006">
      <mc:Choice Requires="x14">
        <control shapeId="10242" r:id="rId6" name="Open_Template">
          <controlPr defaultSize="0" autoLine="0" r:id="rId7">
            <anchor>
              <from>
                <xdr:col>2</xdr:col>
                <xdr:colOff>1600200</xdr:colOff>
                <xdr:row>0</xdr:row>
                <xdr:rowOff>95250</xdr:rowOff>
              </from>
              <to>
                <xdr:col>3</xdr:col>
                <xdr:colOff>333375</xdr:colOff>
                <xdr:row>0</xdr:row>
                <xdr:rowOff>419100</xdr:rowOff>
              </to>
            </anchor>
          </controlPr>
        </control>
      </mc:Choice>
      <mc:Fallback>
        <control shapeId="10242" r:id="rId6" name="Open_Templat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5" tint="0.39997558519241921"/>
  </sheetPr>
  <dimension ref="A1:F50"/>
  <sheetViews>
    <sheetView zoomScale="130" zoomScaleNormal="130" workbookViewId="0">
      <pane ySplit="5" topLeftCell="A39" activePane="bottomLeft" state="frozen"/>
      <selection activeCell="D40" sqref="D40"/>
      <selection pane="bottomLeft" activeCell="A51" sqref="A51"/>
    </sheetView>
  </sheetViews>
  <sheetFormatPr defaultColWidth="18.7109375" defaultRowHeight="15" x14ac:dyDescent="0.25"/>
  <cols>
    <col min="1" max="6" width="16.5703125" style="4" customWidth="1"/>
  </cols>
  <sheetData>
    <row r="1" spans="1:6" s="10" customFormat="1" ht="39.950000000000003" customHeight="1" x14ac:dyDescent="0.25">
      <c r="A1" s="9" t="s">
        <v>161</v>
      </c>
      <c r="B1" s="9"/>
      <c r="C1" s="9"/>
      <c r="D1" s="9"/>
    </row>
    <row r="2" spans="1:6" x14ac:dyDescent="0.25">
      <c r="A2" s="1" t="s">
        <v>157</v>
      </c>
    </row>
    <row r="3" spans="1:6" x14ac:dyDescent="0.25">
      <c r="A3" s="1" t="s">
        <v>158</v>
      </c>
    </row>
    <row r="4" spans="1:6" x14ac:dyDescent="0.25">
      <c r="A4" s="1" t="s">
        <v>156</v>
      </c>
    </row>
    <row r="5" spans="1:6" x14ac:dyDescent="0.25">
      <c r="A5" s="4" t="s">
        <v>155</v>
      </c>
      <c r="B5" s="4" t="s">
        <v>12</v>
      </c>
      <c r="C5" s="4" t="s">
        <v>8</v>
      </c>
      <c r="D5" s="4" t="s">
        <v>9</v>
      </c>
      <c r="E5" s="4" t="s">
        <v>11</v>
      </c>
      <c r="F5" s="4" t="s">
        <v>10</v>
      </c>
    </row>
    <row r="6" spans="1:6" x14ac:dyDescent="0.25">
      <c r="A6" s="4">
        <v>1</v>
      </c>
      <c r="B6" s="4" t="str">
        <f>"П" &amp;Спецификация[[#This Row],[ID]]</f>
        <v>П1</v>
      </c>
      <c r="C6" s="4" t="str">
        <f>"А"&amp;Спецификация[[#This Row],[ID]]</f>
        <v>А1</v>
      </c>
      <c r="D6" s="4" t="str">
        <f>"Н"&amp;Спецификация[[#This Row],[ID]]</f>
        <v>Н1</v>
      </c>
      <c r="E6" s="4" t="str">
        <f>"Е"&amp;Спецификация[[#This Row],[ID]]</f>
        <v>Е1</v>
      </c>
      <c r="F6" s="4" t="str">
        <f>"К"&amp;Спецификация[[#This Row],[ID]]</f>
        <v>К1</v>
      </c>
    </row>
    <row r="7" spans="1:6" x14ac:dyDescent="0.25">
      <c r="A7" s="4">
        <v>1</v>
      </c>
      <c r="B7" s="4" t="str">
        <f>"П" &amp;Спецификация[[#This Row],[ID]]</f>
        <v>П1</v>
      </c>
      <c r="C7" s="4" t="str">
        <f>"А"&amp;Спецификация[[#This Row],[ID]]</f>
        <v>А1</v>
      </c>
      <c r="D7" s="4" t="str">
        <f>"Н"&amp;Спецификация[[#This Row],[ID]]</f>
        <v>Н1</v>
      </c>
      <c r="E7" s="4" t="str">
        <f>"Е"&amp;Спецификация[[#This Row],[ID]]</f>
        <v>Е1</v>
      </c>
      <c r="F7" s="4" t="str">
        <f>"К"&amp;Спецификация[[#This Row],[ID]]</f>
        <v>К1</v>
      </c>
    </row>
    <row r="8" spans="1:6" x14ac:dyDescent="0.25">
      <c r="A8" s="4">
        <v>1</v>
      </c>
      <c r="B8" s="4" t="str">
        <f>"П" &amp;Спецификация[[#This Row],[ID]]</f>
        <v>П1</v>
      </c>
      <c r="C8" s="4" t="str">
        <f>"А"&amp;Спецификация[[#This Row],[ID]]</f>
        <v>А1</v>
      </c>
      <c r="D8" s="4" t="str">
        <f>"Н"&amp;Спецификация[[#This Row],[ID]]</f>
        <v>Н1</v>
      </c>
      <c r="E8" s="4" t="str">
        <f>"Е"&amp;Спецификация[[#This Row],[ID]]</f>
        <v>Е1</v>
      </c>
      <c r="F8" s="4" t="str">
        <f>"К"&amp;Спецификация[[#This Row],[ID]]</f>
        <v>К1</v>
      </c>
    </row>
    <row r="9" spans="1:6" x14ac:dyDescent="0.25">
      <c r="A9" s="4">
        <v>2</v>
      </c>
      <c r="B9" s="4" t="str">
        <f>"П" &amp;Спецификация[[#This Row],[ID]]</f>
        <v>П2</v>
      </c>
      <c r="C9" s="4" t="str">
        <f>"А"&amp;Спецификация[[#This Row],[ID]]</f>
        <v>А2</v>
      </c>
      <c r="D9" s="4" t="str">
        <f>"Н"&amp;Спецификация[[#This Row],[ID]]</f>
        <v>Н2</v>
      </c>
      <c r="E9" s="4" t="str">
        <f>"Е"&amp;Спецификация[[#This Row],[ID]]</f>
        <v>Е2</v>
      </c>
      <c r="F9" s="4" t="str">
        <f>"К"&amp;Спецификация[[#This Row],[ID]]</f>
        <v>К2</v>
      </c>
    </row>
    <row r="10" spans="1:6" x14ac:dyDescent="0.25">
      <c r="A10" s="4">
        <v>2</v>
      </c>
      <c r="B10" s="4" t="str">
        <f>"П" &amp;Спецификация[[#This Row],[ID]]</f>
        <v>П2</v>
      </c>
      <c r="C10" s="4" t="str">
        <f>"А"&amp;Спецификация[[#This Row],[ID]]</f>
        <v>А2</v>
      </c>
      <c r="D10" s="4" t="str">
        <f>"Н"&amp;Спецификация[[#This Row],[ID]]</f>
        <v>Н2</v>
      </c>
      <c r="E10" s="4" t="str">
        <f>"Е"&amp;Спецификация[[#This Row],[ID]]</f>
        <v>Е2</v>
      </c>
      <c r="F10" s="4" t="str">
        <f>"К"&amp;Спецификация[[#This Row],[ID]]</f>
        <v>К2</v>
      </c>
    </row>
    <row r="11" spans="1:6" x14ac:dyDescent="0.25">
      <c r="A11" s="4">
        <v>2</v>
      </c>
      <c r="B11" s="4" t="str">
        <f>"П" &amp;Спецификация[[#This Row],[ID]]</f>
        <v>П2</v>
      </c>
      <c r="C11" s="4" t="str">
        <f>"А"&amp;Спецификация[[#This Row],[ID]]</f>
        <v>А2</v>
      </c>
      <c r="D11" s="4" t="str">
        <f>"Н"&amp;Спецификация[[#This Row],[ID]]</f>
        <v>Н2</v>
      </c>
      <c r="E11" s="4" t="str">
        <f>"Е"&amp;Спецификация[[#This Row],[ID]]</f>
        <v>Е2</v>
      </c>
      <c r="F11" s="4" t="str">
        <f>"К"&amp;Спецификация[[#This Row],[ID]]</f>
        <v>К2</v>
      </c>
    </row>
    <row r="12" spans="1:6" x14ac:dyDescent="0.25">
      <c r="A12" s="4">
        <v>3</v>
      </c>
      <c r="B12" s="4" t="str">
        <f>"П" &amp;Спецификация[[#This Row],[ID]]</f>
        <v>П3</v>
      </c>
      <c r="C12" s="4" t="str">
        <f>"А"&amp;Спецификация[[#This Row],[ID]]</f>
        <v>А3</v>
      </c>
      <c r="D12" s="4" t="str">
        <f>"Н"&amp;Спецификация[[#This Row],[ID]]</f>
        <v>Н3</v>
      </c>
      <c r="E12" s="4" t="str">
        <f>"Е"&amp;Спецификация[[#This Row],[ID]]</f>
        <v>Е3</v>
      </c>
      <c r="F12" s="4" t="str">
        <f>"К"&amp;Спецификация[[#This Row],[ID]]</f>
        <v>К3</v>
      </c>
    </row>
    <row r="13" spans="1:6" x14ac:dyDescent="0.25">
      <c r="A13" s="4">
        <v>3</v>
      </c>
      <c r="B13" s="4" t="str">
        <f>"П" &amp;Спецификация[[#This Row],[ID]]</f>
        <v>П3</v>
      </c>
      <c r="C13" s="4" t="str">
        <f>"А"&amp;Спецификация[[#This Row],[ID]]</f>
        <v>А3</v>
      </c>
      <c r="D13" s="4" t="str">
        <f>"Н"&amp;Спецификация[[#This Row],[ID]]</f>
        <v>Н3</v>
      </c>
      <c r="E13" s="4" t="str">
        <f>"Е"&amp;Спецификация[[#This Row],[ID]]</f>
        <v>Е3</v>
      </c>
      <c r="F13" s="4" t="str">
        <f>"К"&amp;Спецификация[[#This Row],[ID]]</f>
        <v>К3</v>
      </c>
    </row>
    <row r="14" spans="1:6" x14ac:dyDescent="0.25">
      <c r="A14" s="4">
        <v>3</v>
      </c>
      <c r="B14" s="4" t="str">
        <f>"П" &amp;Спецификация[[#This Row],[ID]]</f>
        <v>П3</v>
      </c>
      <c r="C14" s="4" t="str">
        <f>"А"&amp;Спецификация[[#This Row],[ID]]</f>
        <v>А3</v>
      </c>
      <c r="D14" s="4" t="str">
        <f>"Н"&amp;Спецификация[[#This Row],[ID]]</f>
        <v>Н3</v>
      </c>
      <c r="E14" s="4" t="str">
        <f>"Е"&amp;Спецификация[[#This Row],[ID]]</f>
        <v>Е3</v>
      </c>
      <c r="F14" s="4" t="str">
        <f>"К"&amp;Спецификация[[#This Row],[ID]]</f>
        <v>К3</v>
      </c>
    </row>
    <row r="15" spans="1:6" x14ac:dyDescent="0.25">
      <c r="A15" s="4">
        <v>4</v>
      </c>
      <c r="B15" s="4" t="str">
        <f>"П" &amp;Спецификация[[#This Row],[ID]]</f>
        <v>П4</v>
      </c>
      <c r="C15" s="4" t="str">
        <f>"А"&amp;Спецификация[[#This Row],[ID]]</f>
        <v>А4</v>
      </c>
      <c r="D15" s="4" t="str">
        <f>"Н"&amp;Спецификация[[#This Row],[ID]]</f>
        <v>Н4</v>
      </c>
      <c r="E15" s="4" t="str">
        <f>"Е"&amp;Спецификация[[#This Row],[ID]]</f>
        <v>Е4</v>
      </c>
      <c r="F15" s="4" t="str">
        <f>"К"&amp;Спецификация[[#This Row],[ID]]</f>
        <v>К4</v>
      </c>
    </row>
    <row r="16" spans="1:6" x14ac:dyDescent="0.25">
      <c r="A16" s="4">
        <v>4</v>
      </c>
      <c r="B16" s="4" t="str">
        <f>"П" &amp;Спецификация[[#This Row],[ID]]</f>
        <v>П4</v>
      </c>
      <c r="C16" s="4" t="str">
        <f>"А"&amp;Спецификация[[#This Row],[ID]]</f>
        <v>А4</v>
      </c>
      <c r="D16" s="4" t="str">
        <f>"Н"&amp;Спецификация[[#This Row],[ID]]</f>
        <v>Н4</v>
      </c>
      <c r="E16" s="4" t="str">
        <f>"Е"&amp;Спецификация[[#This Row],[ID]]</f>
        <v>Е4</v>
      </c>
      <c r="F16" s="4" t="str">
        <f>"К"&amp;Спецификация[[#This Row],[ID]]</f>
        <v>К4</v>
      </c>
    </row>
    <row r="17" spans="1:6" x14ac:dyDescent="0.25">
      <c r="A17" s="4">
        <v>4</v>
      </c>
      <c r="B17" s="4" t="str">
        <f>"П" &amp;Спецификация[[#This Row],[ID]]</f>
        <v>П4</v>
      </c>
      <c r="C17" s="4" t="str">
        <f>"А"&amp;Спецификация[[#This Row],[ID]]</f>
        <v>А4</v>
      </c>
      <c r="D17" s="4" t="str">
        <f>"Н"&amp;Спецификация[[#This Row],[ID]]</f>
        <v>Н4</v>
      </c>
      <c r="E17" s="4" t="str">
        <f>"Е"&amp;Спецификация[[#This Row],[ID]]</f>
        <v>Е4</v>
      </c>
      <c r="F17" s="4" t="str">
        <f>"К"&amp;Спецификация[[#This Row],[ID]]</f>
        <v>К4</v>
      </c>
    </row>
    <row r="18" spans="1:6" x14ac:dyDescent="0.25">
      <c r="A18" s="4">
        <v>5</v>
      </c>
      <c r="B18" s="4" t="str">
        <f>"П" &amp;Спецификация[[#This Row],[ID]]</f>
        <v>П5</v>
      </c>
      <c r="C18" s="4" t="str">
        <f>"А"&amp;Спецификация[[#This Row],[ID]]</f>
        <v>А5</v>
      </c>
      <c r="D18" s="4" t="str">
        <f>"Н"&amp;Спецификация[[#This Row],[ID]]</f>
        <v>Н5</v>
      </c>
      <c r="E18" s="4" t="str">
        <f>"Е"&amp;Спецификация[[#This Row],[ID]]</f>
        <v>Е5</v>
      </c>
      <c r="F18" s="4" t="str">
        <f>"К"&amp;Спецификация[[#This Row],[ID]]</f>
        <v>К5</v>
      </c>
    </row>
    <row r="19" spans="1:6" x14ac:dyDescent="0.25">
      <c r="A19" s="4">
        <v>5</v>
      </c>
      <c r="B19" s="4" t="str">
        <f>"П" &amp;Спецификация[[#This Row],[ID]]</f>
        <v>П5</v>
      </c>
      <c r="C19" s="4" t="str">
        <f>"А"&amp;Спецификация[[#This Row],[ID]]</f>
        <v>А5</v>
      </c>
      <c r="D19" s="4" t="str">
        <f>"Н"&amp;Спецификация[[#This Row],[ID]]</f>
        <v>Н5</v>
      </c>
      <c r="E19" s="4" t="str">
        <f>"Е"&amp;Спецификация[[#This Row],[ID]]</f>
        <v>Е5</v>
      </c>
      <c r="F19" s="4" t="str">
        <f>"К"&amp;Спецификация[[#This Row],[ID]]</f>
        <v>К5</v>
      </c>
    </row>
    <row r="20" spans="1:6" x14ac:dyDescent="0.25">
      <c r="A20" s="4">
        <v>5</v>
      </c>
      <c r="B20" s="4" t="str">
        <f>"П" &amp;Спецификация[[#This Row],[ID]]</f>
        <v>П5</v>
      </c>
      <c r="C20" s="4" t="str">
        <f>"А"&amp;Спецификация[[#This Row],[ID]]</f>
        <v>А5</v>
      </c>
      <c r="D20" s="4" t="str">
        <f>"Н"&amp;Спецификация[[#This Row],[ID]]</f>
        <v>Н5</v>
      </c>
      <c r="E20" s="4" t="str">
        <f>"Е"&amp;Спецификация[[#This Row],[ID]]</f>
        <v>Е5</v>
      </c>
      <c r="F20" s="4" t="str">
        <f>"К"&amp;Спецификация[[#This Row],[ID]]</f>
        <v>К5</v>
      </c>
    </row>
    <row r="21" spans="1:6" x14ac:dyDescent="0.25">
      <c r="A21" s="4">
        <v>6</v>
      </c>
      <c r="B21" s="4" t="str">
        <f>"П" &amp;Спецификация[[#This Row],[ID]]</f>
        <v>П6</v>
      </c>
      <c r="C21" s="4" t="str">
        <f>"А"&amp;Спецификация[[#This Row],[ID]]</f>
        <v>А6</v>
      </c>
      <c r="D21" s="4" t="str">
        <f>"Н"&amp;Спецификация[[#This Row],[ID]]</f>
        <v>Н6</v>
      </c>
      <c r="E21" s="4" t="str">
        <f>"Е"&amp;Спецификация[[#This Row],[ID]]</f>
        <v>Е6</v>
      </c>
      <c r="F21" s="4" t="str">
        <f>"К"&amp;Спецификация[[#This Row],[ID]]</f>
        <v>К6</v>
      </c>
    </row>
    <row r="22" spans="1:6" x14ac:dyDescent="0.25">
      <c r="A22" s="4">
        <v>6</v>
      </c>
      <c r="B22" s="4" t="str">
        <f>"П" &amp;Спецификация[[#This Row],[ID]]</f>
        <v>П6</v>
      </c>
      <c r="C22" s="4" t="str">
        <f>"А"&amp;Спецификация[[#This Row],[ID]]</f>
        <v>А6</v>
      </c>
      <c r="D22" s="4" t="str">
        <f>"Н"&amp;Спецификация[[#This Row],[ID]]</f>
        <v>Н6</v>
      </c>
      <c r="E22" s="4" t="str">
        <f>"Е"&amp;Спецификация[[#This Row],[ID]]</f>
        <v>Е6</v>
      </c>
      <c r="F22" s="4" t="str">
        <f>"К"&amp;Спецификация[[#This Row],[ID]]</f>
        <v>К6</v>
      </c>
    </row>
    <row r="23" spans="1:6" x14ac:dyDescent="0.25">
      <c r="A23" s="4">
        <v>6</v>
      </c>
      <c r="B23" s="4" t="str">
        <f>"П" &amp;Спецификация[[#This Row],[ID]]</f>
        <v>П6</v>
      </c>
      <c r="C23" s="4" t="str">
        <f>"А"&amp;Спецификация[[#This Row],[ID]]</f>
        <v>А6</v>
      </c>
      <c r="D23" s="4" t="str">
        <f>"Н"&amp;Спецификация[[#This Row],[ID]]</f>
        <v>Н6</v>
      </c>
      <c r="E23" s="4" t="str">
        <f>"Е"&amp;Спецификация[[#This Row],[ID]]</f>
        <v>Е6</v>
      </c>
      <c r="F23" s="4" t="str">
        <f>"К"&amp;Спецификация[[#This Row],[ID]]</f>
        <v>К6</v>
      </c>
    </row>
    <row r="24" spans="1:6" x14ac:dyDescent="0.25">
      <c r="A24" s="4">
        <v>7</v>
      </c>
      <c r="B24" s="4" t="str">
        <f>"П" &amp;Спецификация[[#This Row],[ID]]</f>
        <v>П7</v>
      </c>
      <c r="C24" s="4" t="str">
        <f>"А"&amp;Спецификация[[#This Row],[ID]]</f>
        <v>А7</v>
      </c>
      <c r="D24" s="4" t="str">
        <f>"Н"&amp;Спецификация[[#This Row],[ID]]</f>
        <v>Н7</v>
      </c>
      <c r="E24" s="4" t="str">
        <f>"Е"&amp;Спецификация[[#This Row],[ID]]</f>
        <v>Е7</v>
      </c>
      <c r="F24" s="4" t="str">
        <f>"К"&amp;Спецификация[[#This Row],[ID]]</f>
        <v>К7</v>
      </c>
    </row>
    <row r="25" spans="1:6" x14ac:dyDescent="0.25">
      <c r="A25" s="4">
        <v>7</v>
      </c>
      <c r="B25" s="4" t="str">
        <f>"П" &amp;Спецификация[[#This Row],[ID]]</f>
        <v>П7</v>
      </c>
      <c r="C25" s="4" t="str">
        <f>"А"&amp;Спецификация[[#This Row],[ID]]</f>
        <v>А7</v>
      </c>
      <c r="D25" s="4" t="str">
        <f>"Н"&amp;Спецификация[[#This Row],[ID]]</f>
        <v>Н7</v>
      </c>
      <c r="E25" s="4" t="str">
        <f>"Е"&amp;Спецификация[[#This Row],[ID]]</f>
        <v>Е7</v>
      </c>
      <c r="F25" s="4" t="str">
        <f>"К"&amp;Спецификация[[#This Row],[ID]]</f>
        <v>К7</v>
      </c>
    </row>
    <row r="26" spans="1:6" x14ac:dyDescent="0.25">
      <c r="A26" s="4">
        <v>7</v>
      </c>
      <c r="B26" s="4" t="str">
        <f>"П" &amp;Спецификация[[#This Row],[ID]]</f>
        <v>П7</v>
      </c>
      <c r="C26" s="4" t="str">
        <f>"А"&amp;Спецификация[[#This Row],[ID]]</f>
        <v>А7</v>
      </c>
      <c r="D26" s="4" t="str">
        <f>"Н"&amp;Спецификация[[#This Row],[ID]]</f>
        <v>Н7</v>
      </c>
      <c r="E26" s="4" t="str">
        <f>"Е"&amp;Спецификация[[#This Row],[ID]]</f>
        <v>Е7</v>
      </c>
      <c r="F26" s="4" t="str">
        <f>"К"&amp;Спецификация[[#This Row],[ID]]</f>
        <v>К7</v>
      </c>
    </row>
    <row r="27" spans="1:6" x14ac:dyDescent="0.25">
      <c r="A27" s="4">
        <v>8</v>
      </c>
      <c r="B27" s="4" t="str">
        <f>"П" &amp;Спецификация[[#This Row],[ID]]</f>
        <v>П8</v>
      </c>
      <c r="C27" s="4" t="str">
        <f>"А"&amp;Спецификация[[#This Row],[ID]]</f>
        <v>А8</v>
      </c>
      <c r="D27" s="4" t="str">
        <f>"Н"&amp;Спецификация[[#This Row],[ID]]</f>
        <v>Н8</v>
      </c>
      <c r="E27" s="4" t="str">
        <f>"Е"&amp;Спецификация[[#This Row],[ID]]</f>
        <v>Е8</v>
      </c>
      <c r="F27" s="4" t="str">
        <f>"К"&amp;Спецификация[[#This Row],[ID]]</f>
        <v>К8</v>
      </c>
    </row>
    <row r="28" spans="1:6" x14ac:dyDescent="0.25">
      <c r="A28" s="4">
        <v>8</v>
      </c>
      <c r="B28" s="4" t="str">
        <f>"П" &amp;Спецификация[[#This Row],[ID]]</f>
        <v>П8</v>
      </c>
      <c r="C28" s="4" t="str">
        <f>"А"&amp;Спецификация[[#This Row],[ID]]</f>
        <v>А8</v>
      </c>
      <c r="D28" s="4" t="str">
        <f>"Н"&amp;Спецификация[[#This Row],[ID]]</f>
        <v>Н8</v>
      </c>
      <c r="E28" s="4" t="str">
        <f>"Е"&amp;Спецификация[[#This Row],[ID]]</f>
        <v>Е8</v>
      </c>
      <c r="F28" s="4" t="str">
        <f>"К"&amp;Спецификация[[#This Row],[ID]]</f>
        <v>К8</v>
      </c>
    </row>
    <row r="29" spans="1:6" x14ac:dyDescent="0.25">
      <c r="A29" s="4">
        <v>8</v>
      </c>
      <c r="B29" s="4" t="str">
        <f>"П" &amp;Спецификация[[#This Row],[ID]]</f>
        <v>П8</v>
      </c>
      <c r="C29" s="4" t="str">
        <f>"А"&amp;Спецификация[[#This Row],[ID]]</f>
        <v>А8</v>
      </c>
      <c r="D29" s="4" t="str">
        <f>"Н"&amp;Спецификация[[#This Row],[ID]]</f>
        <v>Н8</v>
      </c>
      <c r="E29" s="4" t="str">
        <f>"Е"&amp;Спецификация[[#This Row],[ID]]</f>
        <v>Е8</v>
      </c>
      <c r="F29" s="4" t="str">
        <f>"К"&amp;Спецификация[[#This Row],[ID]]</f>
        <v>К8</v>
      </c>
    </row>
    <row r="30" spans="1:6" x14ac:dyDescent="0.25">
      <c r="A30" s="4">
        <v>9</v>
      </c>
      <c r="B30" s="4" t="str">
        <f>"П" &amp;Спецификация[[#This Row],[ID]]</f>
        <v>П9</v>
      </c>
      <c r="C30" s="4" t="str">
        <f>"А"&amp;Спецификация[[#This Row],[ID]]</f>
        <v>А9</v>
      </c>
      <c r="D30" s="4" t="str">
        <f>"Н"&amp;Спецификация[[#This Row],[ID]]</f>
        <v>Н9</v>
      </c>
      <c r="E30" s="4" t="str">
        <f>"Е"&amp;Спецификация[[#This Row],[ID]]</f>
        <v>Е9</v>
      </c>
      <c r="F30" s="4" t="str">
        <f>"К"&amp;Спецификация[[#This Row],[ID]]</f>
        <v>К9</v>
      </c>
    </row>
    <row r="31" spans="1:6" x14ac:dyDescent="0.25">
      <c r="A31" s="4">
        <v>9</v>
      </c>
      <c r="B31" s="4" t="str">
        <f>"П" &amp;Спецификация[[#This Row],[ID]]</f>
        <v>П9</v>
      </c>
      <c r="C31" s="4" t="str">
        <f>"А"&amp;Спецификация[[#This Row],[ID]]</f>
        <v>А9</v>
      </c>
      <c r="D31" s="4" t="str">
        <f>"Н"&amp;Спецификация[[#This Row],[ID]]</f>
        <v>Н9</v>
      </c>
      <c r="E31" s="4" t="str">
        <f>"Е"&amp;Спецификация[[#This Row],[ID]]</f>
        <v>Е9</v>
      </c>
      <c r="F31" s="4" t="str">
        <f>"К"&amp;Спецификация[[#This Row],[ID]]</f>
        <v>К9</v>
      </c>
    </row>
    <row r="32" spans="1:6" x14ac:dyDescent="0.25">
      <c r="A32" s="4">
        <v>9</v>
      </c>
      <c r="B32" s="4" t="str">
        <f>"П" &amp;Спецификация[[#This Row],[ID]]</f>
        <v>П9</v>
      </c>
      <c r="C32" s="4" t="str">
        <f>"А"&amp;Спецификация[[#This Row],[ID]]</f>
        <v>А9</v>
      </c>
      <c r="D32" s="4" t="str">
        <f>"Н"&amp;Спецификация[[#This Row],[ID]]</f>
        <v>Н9</v>
      </c>
      <c r="E32" s="4" t="str">
        <f>"Е"&amp;Спецификация[[#This Row],[ID]]</f>
        <v>Е9</v>
      </c>
      <c r="F32" s="4" t="str">
        <f>"К"&amp;Спецификация[[#This Row],[ID]]</f>
        <v>К9</v>
      </c>
    </row>
    <row r="33" spans="1:6" x14ac:dyDescent="0.25">
      <c r="A33" s="4">
        <v>10</v>
      </c>
      <c r="B33" s="4" t="str">
        <f>"П" &amp;Спецификация[[#This Row],[ID]]</f>
        <v>П10</v>
      </c>
      <c r="C33" s="4" t="str">
        <f>"А"&amp;Спецификация[[#This Row],[ID]]</f>
        <v>А10</v>
      </c>
      <c r="D33" s="4" t="str">
        <f>"Н"&amp;Спецификация[[#This Row],[ID]]</f>
        <v>Н10</v>
      </c>
      <c r="E33" s="4" t="str">
        <f>"Е"&amp;Спецификация[[#This Row],[ID]]</f>
        <v>Е10</v>
      </c>
      <c r="F33" s="4" t="str">
        <f>"К"&amp;Спецификация[[#This Row],[ID]]</f>
        <v>К10</v>
      </c>
    </row>
    <row r="34" spans="1:6" x14ac:dyDescent="0.25">
      <c r="A34" s="4">
        <v>10</v>
      </c>
      <c r="B34" s="4" t="str">
        <f>"П" &amp;Спецификация[[#This Row],[ID]]</f>
        <v>П10</v>
      </c>
      <c r="C34" s="4" t="str">
        <f>"А"&amp;Спецификация[[#This Row],[ID]]</f>
        <v>А10</v>
      </c>
      <c r="D34" s="4" t="str">
        <f>"Н"&amp;Спецификация[[#This Row],[ID]]</f>
        <v>Н10</v>
      </c>
      <c r="E34" s="4" t="str">
        <f>"Е"&amp;Спецификация[[#This Row],[ID]]</f>
        <v>Е10</v>
      </c>
      <c r="F34" s="4" t="str">
        <f>"К"&amp;Спецификация[[#This Row],[ID]]</f>
        <v>К10</v>
      </c>
    </row>
    <row r="35" spans="1:6" x14ac:dyDescent="0.25">
      <c r="A35" s="4">
        <v>10</v>
      </c>
      <c r="B35" s="4" t="str">
        <f>"П" &amp;Спецификация[[#This Row],[ID]]</f>
        <v>П10</v>
      </c>
      <c r="C35" s="4" t="str">
        <f>"А"&amp;Спецификация[[#This Row],[ID]]</f>
        <v>А10</v>
      </c>
      <c r="D35" s="4" t="str">
        <f>"Н"&amp;Спецификация[[#This Row],[ID]]</f>
        <v>Н10</v>
      </c>
      <c r="E35" s="4" t="str">
        <f>"Е"&amp;Спецификация[[#This Row],[ID]]</f>
        <v>Е10</v>
      </c>
      <c r="F35" s="4" t="str">
        <f>"К"&amp;Спецификация[[#This Row],[ID]]</f>
        <v>К10</v>
      </c>
    </row>
    <row r="36" spans="1:6" x14ac:dyDescent="0.25">
      <c r="A36" s="4">
        <v>11</v>
      </c>
      <c r="B36" s="4" t="str">
        <f>"П" &amp;Спецификация[[#This Row],[ID]]</f>
        <v>П11</v>
      </c>
      <c r="C36" s="4" t="str">
        <f>"А"&amp;Спецификация[[#This Row],[ID]]</f>
        <v>А11</v>
      </c>
      <c r="D36" s="4" t="str">
        <f>"Н"&amp;Спецификация[[#This Row],[ID]]</f>
        <v>Н11</v>
      </c>
      <c r="E36" s="4" t="str">
        <f>"Е"&amp;Спецификация[[#This Row],[ID]]</f>
        <v>Е11</v>
      </c>
      <c r="F36" s="4" t="str">
        <f>"К"&amp;Спецификация[[#This Row],[ID]]</f>
        <v>К11</v>
      </c>
    </row>
    <row r="37" spans="1:6" x14ac:dyDescent="0.25">
      <c r="A37" s="4">
        <v>11</v>
      </c>
      <c r="B37" s="4" t="str">
        <f>"П" &amp;Спецификация[[#This Row],[ID]]</f>
        <v>П11</v>
      </c>
      <c r="C37" s="4" t="str">
        <f>"А"&amp;Спецификация[[#This Row],[ID]]</f>
        <v>А11</v>
      </c>
      <c r="D37" s="4" t="str">
        <f>"Н"&amp;Спецификация[[#This Row],[ID]]</f>
        <v>Н11</v>
      </c>
      <c r="E37" s="4" t="str">
        <f>"Е"&amp;Спецификация[[#This Row],[ID]]</f>
        <v>Е11</v>
      </c>
      <c r="F37" s="4" t="str">
        <f>"К"&amp;Спецификация[[#This Row],[ID]]</f>
        <v>К11</v>
      </c>
    </row>
    <row r="38" spans="1:6" x14ac:dyDescent="0.25">
      <c r="A38" s="4">
        <v>11</v>
      </c>
      <c r="B38" s="4" t="str">
        <f>"П" &amp;Спецификация[[#This Row],[ID]]</f>
        <v>П11</v>
      </c>
      <c r="C38" s="4" t="str">
        <f>"А"&amp;Спецификация[[#This Row],[ID]]</f>
        <v>А11</v>
      </c>
      <c r="D38" s="4" t="str">
        <f>"Н"&amp;Спецификация[[#This Row],[ID]]</f>
        <v>Н11</v>
      </c>
      <c r="E38" s="4" t="str">
        <f>"Е"&amp;Спецификация[[#This Row],[ID]]</f>
        <v>Е11</v>
      </c>
      <c r="F38" s="4" t="str">
        <f>"К"&amp;Спецификация[[#This Row],[ID]]</f>
        <v>К11</v>
      </c>
    </row>
    <row r="39" spans="1:6" x14ac:dyDescent="0.25">
      <c r="A39" s="4">
        <v>12</v>
      </c>
      <c r="B39" s="4" t="str">
        <f>"П" &amp;Спецификация[[#This Row],[ID]]</f>
        <v>П12</v>
      </c>
      <c r="C39" s="4" t="str">
        <f>"А"&amp;Спецификация[[#This Row],[ID]]</f>
        <v>А12</v>
      </c>
      <c r="D39" s="4" t="str">
        <f>"Н"&amp;Спецификация[[#This Row],[ID]]</f>
        <v>Н12</v>
      </c>
      <c r="E39" s="4" t="str">
        <f>"Е"&amp;Спецификация[[#This Row],[ID]]</f>
        <v>Е12</v>
      </c>
      <c r="F39" s="4" t="str">
        <f>"К"&amp;Спецификация[[#This Row],[ID]]</f>
        <v>К12</v>
      </c>
    </row>
    <row r="40" spans="1:6" x14ac:dyDescent="0.25">
      <c r="A40" s="4">
        <v>12</v>
      </c>
      <c r="B40" s="4" t="str">
        <f>"П" &amp;Спецификация[[#This Row],[ID]]</f>
        <v>П12</v>
      </c>
      <c r="C40" s="4" t="str">
        <f>"А"&amp;Спецификация[[#This Row],[ID]]</f>
        <v>А12</v>
      </c>
      <c r="D40" s="4" t="str">
        <f>"Н"&amp;Спецификация[[#This Row],[ID]]</f>
        <v>Н12</v>
      </c>
      <c r="E40" s="4" t="str">
        <f>"Е"&amp;Спецификация[[#This Row],[ID]]</f>
        <v>Е12</v>
      </c>
      <c r="F40" s="4" t="str">
        <f>"К"&amp;Спецификация[[#This Row],[ID]]</f>
        <v>К12</v>
      </c>
    </row>
    <row r="41" spans="1:6" x14ac:dyDescent="0.25">
      <c r="A41" s="4">
        <v>12</v>
      </c>
      <c r="B41" s="4" t="str">
        <f>"П" &amp;Спецификация[[#This Row],[ID]]</f>
        <v>П12</v>
      </c>
      <c r="C41" s="4" t="str">
        <f>"А"&amp;Спецификация[[#This Row],[ID]]</f>
        <v>А12</v>
      </c>
      <c r="D41" s="4" t="str">
        <f>"Н"&amp;Спецификация[[#This Row],[ID]]</f>
        <v>Н12</v>
      </c>
      <c r="E41" s="4" t="str">
        <f>"Е"&amp;Спецификация[[#This Row],[ID]]</f>
        <v>Е12</v>
      </c>
      <c r="F41" s="4" t="str">
        <f>"К"&amp;Спецификация[[#This Row],[ID]]</f>
        <v>К12</v>
      </c>
    </row>
    <row r="42" spans="1:6" x14ac:dyDescent="0.25">
      <c r="A42" s="4">
        <v>13</v>
      </c>
      <c r="B42" s="4" t="str">
        <f>"П" &amp;Спецификация[[#This Row],[ID]]</f>
        <v>П13</v>
      </c>
      <c r="C42" s="4" t="str">
        <f>"А"&amp;Спецификация[[#This Row],[ID]]</f>
        <v>А13</v>
      </c>
      <c r="D42" s="4" t="str">
        <f>"Н"&amp;Спецификация[[#This Row],[ID]]</f>
        <v>Н13</v>
      </c>
      <c r="E42" s="4" t="str">
        <f>"Е"&amp;Спецификация[[#This Row],[ID]]</f>
        <v>Е13</v>
      </c>
      <c r="F42" s="4" t="str">
        <f>"К"&amp;Спецификация[[#This Row],[ID]]</f>
        <v>К13</v>
      </c>
    </row>
    <row r="43" spans="1:6" x14ac:dyDescent="0.25">
      <c r="A43" s="4">
        <v>13</v>
      </c>
      <c r="B43" s="4" t="str">
        <f>"П" &amp;Спецификация[[#This Row],[ID]]</f>
        <v>П13</v>
      </c>
      <c r="C43" s="4" t="str">
        <f>"А"&amp;Спецификация[[#This Row],[ID]]</f>
        <v>А13</v>
      </c>
      <c r="D43" s="4" t="str">
        <f>"Н"&amp;Спецификация[[#This Row],[ID]]</f>
        <v>Н13</v>
      </c>
      <c r="E43" s="4" t="str">
        <f>"Е"&amp;Спецификация[[#This Row],[ID]]</f>
        <v>Е13</v>
      </c>
      <c r="F43" s="4" t="str">
        <f>"К"&amp;Спецификация[[#This Row],[ID]]</f>
        <v>К13</v>
      </c>
    </row>
    <row r="44" spans="1:6" x14ac:dyDescent="0.25">
      <c r="A44" s="4">
        <v>13</v>
      </c>
      <c r="B44" s="4" t="str">
        <f>"П" &amp;Спецификация[[#This Row],[ID]]</f>
        <v>П13</v>
      </c>
      <c r="C44" s="4" t="str">
        <f>"А"&amp;Спецификация[[#This Row],[ID]]</f>
        <v>А13</v>
      </c>
      <c r="D44" s="4" t="str">
        <f>"Н"&amp;Спецификация[[#This Row],[ID]]</f>
        <v>Н13</v>
      </c>
      <c r="E44" s="4" t="str">
        <f>"Е"&amp;Спецификация[[#This Row],[ID]]</f>
        <v>Е13</v>
      </c>
      <c r="F44" s="4" t="str">
        <f>"К"&amp;Спецификация[[#This Row],[ID]]</f>
        <v>К13</v>
      </c>
    </row>
    <row r="45" spans="1:6" x14ac:dyDescent="0.25">
      <c r="A45" s="4">
        <v>14</v>
      </c>
      <c r="B45" s="4" t="str">
        <f>"П" &amp;Спецификация[[#This Row],[ID]]</f>
        <v>П14</v>
      </c>
      <c r="C45" s="4" t="str">
        <f>"А"&amp;Спецификация[[#This Row],[ID]]</f>
        <v>А14</v>
      </c>
      <c r="D45" s="4" t="str">
        <f>"Н"&amp;Спецификация[[#This Row],[ID]]</f>
        <v>Н14</v>
      </c>
      <c r="E45" s="4" t="str">
        <f>"Е"&amp;Спецификация[[#This Row],[ID]]</f>
        <v>Е14</v>
      </c>
      <c r="F45" s="4" t="str">
        <f>"К"&amp;Спецификация[[#This Row],[ID]]</f>
        <v>К14</v>
      </c>
    </row>
    <row r="46" spans="1:6" x14ac:dyDescent="0.25">
      <c r="A46" s="4">
        <v>14</v>
      </c>
      <c r="B46" s="4" t="str">
        <f>"П" &amp;Спецификация[[#This Row],[ID]]</f>
        <v>П14</v>
      </c>
      <c r="C46" s="4" t="str">
        <f>"А"&amp;Спецификация[[#This Row],[ID]]</f>
        <v>А14</v>
      </c>
      <c r="D46" s="4" t="str">
        <f>"Н"&amp;Спецификация[[#This Row],[ID]]</f>
        <v>Н14</v>
      </c>
      <c r="E46" s="4" t="str">
        <f>"Е"&amp;Спецификация[[#This Row],[ID]]</f>
        <v>Е14</v>
      </c>
      <c r="F46" s="4" t="str">
        <f>"К"&amp;Спецификация[[#This Row],[ID]]</f>
        <v>К14</v>
      </c>
    </row>
    <row r="47" spans="1:6" x14ac:dyDescent="0.25">
      <c r="A47" s="4">
        <v>14</v>
      </c>
      <c r="B47" s="4" t="str">
        <f>"П" &amp;Спецификация[[#This Row],[ID]]</f>
        <v>П14</v>
      </c>
      <c r="C47" s="4" t="str">
        <f>"А"&amp;Спецификация[[#This Row],[ID]]</f>
        <v>А14</v>
      </c>
      <c r="D47" s="4" t="str">
        <f>"Н"&amp;Спецификация[[#This Row],[ID]]</f>
        <v>Н14</v>
      </c>
      <c r="E47" s="4" t="str">
        <f>"Е"&amp;Спецификация[[#This Row],[ID]]</f>
        <v>Е14</v>
      </c>
      <c r="F47" s="4" t="str">
        <f>"К"&amp;Спецификация[[#This Row],[ID]]</f>
        <v>К14</v>
      </c>
    </row>
    <row r="48" spans="1:6" x14ac:dyDescent="0.25">
      <c r="A48" s="4">
        <v>15</v>
      </c>
      <c r="B48" s="4" t="str">
        <f>"П" &amp;Спецификация[[#This Row],[ID]]</f>
        <v>П15</v>
      </c>
      <c r="C48" s="4" t="str">
        <f>"А"&amp;Спецификация[[#This Row],[ID]]</f>
        <v>А15</v>
      </c>
      <c r="D48" s="4" t="str">
        <f>"Н"&amp;Спецификация[[#This Row],[ID]]</f>
        <v>Н15</v>
      </c>
      <c r="E48" s="4" t="str">
        <f>"Е"&amp;Спецификация[[#This Row],[ID]]</f>
        <v>Е15</v>
      </c>
      <c r="F48" s="4" t="str">
        <f>"К"&amp;Спецификация[[#This Row],[ID]]</f>
        <v>К15</v>
      </c>
    </row>
    <row r="49" spans="1:6" x14ac:dyDescent="0.25">
      <c r="A49" s="4">
        <v>15</v>
      </c>
      <c r="B49" s="4" t="str">
        <f>"П" &amp;Спецификация[[#This Row],[ID]]</f>
        <v>П15</v>
      </c>
      <c r="C49" s="4" t="str">
        <f>"А"&amp;Спецификация[[#This Row],[ID]]</f>
        <v>А15</v>
      </c>
      <c r="D49" s="4" t="str">
        <f>"Н"&amp;Спецификация[[#This Row],[ID]]</f>
        <v>Н15</v>
      </c>
      <c r="E49" s="4" t="str">
        <f>"Е"&amp;Спецификация[[#This Row],[ID]]</f>
        <v>Е15</v>
      </c>
      <c r="F49" s="4" t="str">
        <f>"К"&amp;Спецификация[[#This Row],[ID]]</f>
        <v>К15</v>
      </c>
    </row>
    <row r="50" spans="1:6" x14ac:dyDescent="0.25">
      <c r="A50" s="4">
        <v>15</v>
      </c>
      <c r="B50" s="4" t="str">
        <f>"П" &amp;Спецификация[[#This Row],[ID]]</f>
        <v>П15</v>
      </c>
      <c r="C50" s="4" t="str">
        <f>"А"&amp;Спецификация[[#This Row],[ID]]</f>
        <v>А15</v>
      </c>
      <c r="D50" s="4" t="str">
        <f>"Н"&amp;Спецификация[[#This Row],[ID]]</f>
        <v>Н15</v>
      </c>
      <c r="E50" s="4" t="str">
        <f>"Е"&amp;Спецификация[[#This Row],[ID]]</f>
        <v>Е15</v>
      </c>
      <c r="F50" s="4" t="str">
        <f>"К"&amp;Спецификация[[#This Row],[ID]]</f>
        <v>К15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5" tint="0.39997558519241921"/>
  </sheetPr>
  <dimension ref="A1:F35"/>
  <sheetViews>
    <sheetView zoomScale="130" zoomScaleNormal="130" workbookViewId="0">
      <pane ySplit="5" topLeftCell="A6" activePane="bottomLeft" state="frozen"/>
      <selection activeCell="D40" sqref="D40"/>
      <selection pane="bottomLeft" activeCell="C13" sqref="C13"/>
    </sheetView>
  </sheetViews>
  <sheetFormatPr defaultColWidth="18.7109375" defaultRowHeight="15" x14ac:dyDescent="0.25"/>
  <cols>
    <col min="1" max="3" width="18.7109375" style="4"/>
  </cols>
  <sheetData>
    <row r="1" spans="1:6" s="10" customFormat="1" ht="39.950000000000003" customHeight="1" x14ac:dyDescent="0.25">
      <c r="A1" s="9" t="s">
        <v>161</v>
      </c>
      <c r="B1" s="11"/>
      <c r="C1" s="11"/>
    </row>
    <row r="2" spans="1:6" x14ac:dyDescent="0.25">
      <c r="A2" s="1" t="s">
        <v>157</v>
      </c>
      <c r="D2" s="4"/>
      <c r="E2" s="4"/>
      <c r="F2" s="4"/>
    </row>
    <row r="3" spans="1:6" x14ac:dyDescent="0.25">
      <c r="A3" s="1" t="s">
        <v>156</v>
      </c>
      <c r="D3" s="4"/>
      <c r="E3" s="4"/>
      <c r="F3" s="4"/>
    </row>
    <row r="4" spans="1:6" x14ac:dyDescent="0.25">
      <c r="A4" s="1" t="s">
        <v>158</v>
      </c>
      <c r="D4" s="4"/>
      <c r="E4" s="4"/>
      <c r="F4" s="4"/>
    </row>
    <row r="5" spans="1:6" x14ac:dyDescent="0.25">
      <c r="A5" s="4" t="s">
        <v>155</v>
      </c>
      <c r="B5" s="4" t="s">
        <v>20</v>
      </c>
      <c r="C5" s="4" t="s">
        <v>21</v>
      </c>
    </row>
    <row r="6" spans="1:6" x14ac:dyDescent="0.25">
      <c r="A6" s="4">
        <v>1</v>
      </c>
      <c r="B6" s="4" t="s">
        <v>24</v>
      </c>
      <c r="C6" s="4" t="s">
        <v>22</v>
      </c>
    </row>
    <row r="7" spans="1:6" x14ac:dyDescent="0.25">
      <c r="A7" s="4">
        <v>1</v>
      </c>
      <c r="B7" s="4" t="s">
        <v>26</v>
      </c>
      <c r="C7" s="4" t="s">
        <v>27</v>
      </c>
    </row>
    <row r="8" spans="1:6" x14ac:dyDescent="0.25">
      <c r="A8" s="4">
        <v>2</v>
      </c>
      <c r="B8" s="4" t="s">
        <v>28</v>
      </c>
      <c r="C8" s="4" t="s">
        <v>29</v>
      </c>
    </row>
    <row r="9" spans="1:6" x14ac:dyDescent="0.25">
      <c r="A9" s="4">
        <v>2</v>
      </c>
      <c r="B9" s="4" t="s">
        <v>30</v>
      </c>
      <c r="C9" s="4" t="s">
        <v>31</v>
      </c>
    </row>
    <row r="10" spans="1:6" x14ac:dyDescent="0.25">
      <c r="A10" s="4">
        <v>3</v>
      </c>
      <c r="B10" s="4" t="s">
        <v>32</v>
      </c>
      <c r="C10" s="4" t="s">
        <v>33</v>
      </c>
    </row>
    <row r="11" spans="1:6" x14ac:dyDescent="0.25">
      <c r="A11" s="4">
        <v>3</v>
      </c>
      <c r="B11" s="4" t="s">
        <v>34</v>
      </c>
      <c r="C11" s="4" t="s">
        <v>35</v>
      </c>
    </row>
    <row r="12" spans="1:6" x14ac:dyDescent="0.25">
      <c r="A12" s="4">
        <v>4</v>
      </c>
      <c r="B12" s="4" t="s">
        <v>36</v>
      </c>
      <c r="C12" s="4" t="s">
        <v>37</v>
      </c>
    </row>
    <row r="13" spans="1:6" x14ac:dyDescent="0.25">
      <c r="A13" s="4">
        <v>4</v>
      </c>
      <c r="B13" s="4" t="s">
        <v>38</v>
      </c>
      <c r="C13" s="4" t="s">
        <v>39</v>
      </c>
    </row>
    <row r="14" spans="1:6" x14ac:dyDescent="0.25">
      <c r="A14" s="4">
        <v>5</v>
      </c>
      <c r="B14" s="4" t="s">
        <v>40</v>
      </c>
      <c r="C14" s="4" t="s">
        <v>41</v>
      </c>
    </row>
    <row r="15" spans="1:6" x14ac:dyDescent="0.25">
      <c r="A15" s="4">
        <v>5</v>
      </c>
      <c r="B15" s="4" t="s">
        <v>42</v>
      </c>
      <c r="C15" s="4" t="s">
        <v>43</v>
      </c>
    </row>
    <row r="16" spans="1:6" x14ac:dyDescent="0.25">
      <c r="A16" s="4">
        <v>6</v>
      </c>
      <c r="B16" s="4" t="s">
        <v>44</v>
      </c>
      <c r="C16" s="4" t="s">
        <v>45</v>
      </c>
    </row>
    <row r="17" spans="1:3" x14ac:dyDescent="0.25">
      <c r="A17" s="4">
        <v>6</v>
      </c>
      <c r="B17" s="4" t="s">
        <v>46</v>
      </c>
      <c r="C17" s="4" t="s">
        <v>47</v>
      </c>
    </row>
    <row r="18" spans="1:3" x14ac:dyDescent="0.25">
      <c r="A18" s="4">
        <v>7</v>
      </c>
      <c r="B18" s="4" t="s">
        <v>48</v>
      </c>
      <c r="C18" s="4" t="s">
        <v>49</v>
      </c>
    </row>
    <row r="19" spans="1:3" x14ac:dyDescent="0.25">
      <c r="A19" s="4">
        <v>7</v>
      </c>
      <c r="B19" s="4" t="s">
        <v>50</v>
      </c>
      <c r="C19" s="4" t="s">
        <v>51</v>
      </c>
    </row>
    <row r="20" spans="1:3" x14ac:dyDescent="0.25">
      <c r="A20" s="4">
        <v>8</v>
      </c>
      <c r="B20" s="4" t="s">
        <v>52</v>
      </c>
      <c r="C20" s="4" t="s">
        <v>53</v>
      </c>
    </row>
    <row r="21" spans="1:3" x14ac:dyDescent="0.25">
      <c r="A21" s="4">
        <v>8</v>
      </c>
      <c r="B21" s="4" t="s">
        <v>54</v>
      </c>
      <c r="C21" s="4" t="s">
        <v>55</v>
      </c>
    </row>
    <row r="22" spans="1:3" x14ac:dyDescent="0.25">
      <c r="A22" s="4">
        <v>9</v>
      </c>
      <c r="B22" s="4" t="s">
        <v>56</v>
      </c>
      <c r="C22" s="4" t="s">
        <v>57</v>
      </c>
    </row>
    <row r="23" spans="1:3" x14ac:dyDescent="0.25">
      <c r="A23" s="4">
        <v>9</v>
      </c>
      <c r="B23" s="4" t="s">
        <v>58</v>
      </c>
      <c r="C23" s="4" t="s">
        <v>59</v>
      </c>
    </row>
    <row r="24" spans="1:3" x14ac:dyDescent="0.25">
      <c r="A24" s="4">
        <v>10</v>
      </c>
      <c r="B24" s="4" t="s">
        <v>60</v>
      </c>
      <c r="C24" s="4" t="s">
        <v>61</v>
      </c>
    </row>
    <row r="25" spans="1:3" x14ac:dyDescent="0.25">
      <c r="A25" s="4">
        <v>10</v>
      </c>
      <c r="B25" s="4" t="s">
        <v>62</v>
      </c>
      <c r="C25" s="4" t="s">
        <v>63</v>
      </c>
    </row>
    <row r="26" spans="1:3" x14ac:dyDescent="0.25">
      <c r="A26" s="4">
        <v>11</v>
      </c>
      <c r="B26" s="4" t="s">
        <v>64</v>
      </c>
      <c r="C26" s="4" t="s">
        <v>65</v>
      </c>
    </row>
    <row r="27" spans="1:3" x14ac:dyDescent="0.25">
      <c r="A27" s="4">
        <v>11</v>
      </c>
      <c r="B27" s="4" t="s">
        <v>66</v>
      </c>
      <c r="C27" s="4" t="s">
        <v>67</v>
      </c>
    </row>
    <row r="28" spans="1:3" x14ac:dyDescent="0.25">
      <c r="A28" s="4">
        <v>12</v>
      </c>
      <c r="B28" s="4" t="s">
        <v>68</v>
      </c>
      <c r="C28" s="4" t="s">
        <v>69</v>
      </c>
    </row>
    <row r="29" spans="1:3" x14ac:dyDescent="0.25">
      <c r="A29" s="4">
        <v>12</v>
      </c>
      <c r="B29" s="4" t="s">
        <v>70</v>
      </c>
      <c r="C29" s="4" t="s">
        <v>71</v>
      </c>
    </row>
    <row r="30" spans="1:3" x14ac:dyDescent="0.25">
      <c r="A30" s="4">
        <v>13</v>
      </c>
      <c r="B30" s="4" t="s">
        <v>72</v>
      </c>
      <c r="C30" s="4" t="s">
        <v>73</v>
      </c>
    </row>
    <row r="31" spans="1:3" x14ac:dyDescent="0.25">
      <c r="A31" s="4">
        <v>13</v>
      </c>
      <c r="B31" s="4" t="s">
        <v>74</v>
      </c>
      <c r="C31" s="4" t="s">
        <v>75</v>
      </c>
    </row>
    <row r="32" spans="1:3" x14ac:dyDescent="0.25">
      <c r="A32" s="4">
        <v>14</v>
      </c>
      <c r="B32" s="4" t="s">
        <v>76</v>
      </c>
      <c r="C32" s="4" t="s">
        <v>77</v>
      </c>
    </row>
    <row r="33" spans="1:3" x14ac:dyDescent="0.25">
      <c r="A33" s="4">
        <v>14</v>
      </c>
      <c r="B33" s="4" t="s">
        <v>78</v>
      </c>
      <c r="C33" s="4" t="s">
        <v>79</v>
      </c>
    </row>
    <row r="34" spans="1:3" x14ac:dyDescent="0.25">
      <c r="A34" s="4">
        <v>15</v>
      </c>
      <c r="B34" s="4" t="s">
        <v>80</v>
      </c>
      <c r="C34" s="4" t="s">
        <v>81</v>
      </c>
    </row>
    <row r="35" spans="1:3" x14ac:dyDescent="0.25">
      <c r="A35" s="4">
        <v>15</v>
      </c>
      <c r="B35" s="4" t="s">
        <v>82</v>
      </c>
      <c r="C35" s="4" t="s">
        <v>83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5" tint="0.39997558519241921"/>
  </sheetPr>
  <dimension ref="A1:F35"/>
  <sheetViews>
    <sheetView zoomScale="130" zoomScaleNormal="130" workbookViewId="0">
      <pane ySplit="5" topLeftCell="A6" activePane="bottomLeft" state="frozen"/>
      <selection activeCell="E33" sqref="E33"/>
      <selection pane="bottomLeft" activeCell="B13" sqref="B13"/>
    </sheetView>
  </sheetViews>
  <sheetFormatPr defaultColWidth="18.7109375" defaultRowHeight="15" x14ac:dyDescent="0.25"/>
  <cols>
    <col min="1" max="3" width="18.7109375" style="4"/>
  </cols>
  <sheetData>
    <row r="1" spans="1:6" s="10" customFormat="1" ht="39.950000000000003" customHeight="1" x14ac:dyDescent="0.25">
      <c r="A1" s="9" t="s">
        <v>161</v>
      </c>
      <c r="B1" s="11"/>
      <c r="C1" s="11"/>
    </row>
    <row r="2" spans="1:6" x14ac:dyDescent="0.25">
      <c r="A2" s="1" t="s">
        <v>157</v>
      </c>
      <c r="D2" s="4"/>
      <c r="E2" s="4"/>
      <c r="F2" s="4"/>
    </row>
    <row r="3" spans="1:6" x14ac:dyDescent="0.25">
      <c r="A3" s="1" t="s">
        <v>158</v>
      </c>
      <c r="D3" s="4"/>
      <c r="E3" s="4"/>
      <c r="F3" s="4"/>
    </row>
    <row r="4" spans="1:6" x14ac:dyDescent="0.25">
      <c r="A4" s="1" t="s">
        <v>156</v>
      </c>
      <c r="D4" s="4"/>
      <c r="E4" s="4"/>
      <c r="F4" s="4"/>
    </row>
    <row r="5" spans="1:6" x14ac:dyDescent="0.25">
      <c r="A5" s="4" t="s">
        <v>155</v>
      </c>
      <c r="B5" s="4" t="s">
        <v>18</v>
      </c>
      <c r="C5" s="4" t="s">
        <v>19</v>
      </c>
    </row>
    <row r="6" spans="1:6" x14ac:dyDescent="0.25">
      <c r="A6" s="4">
        <v>1</v>
      </c>
      <c r="B6" s="4" t="s">
        <v>84</v>
      </c>
      <c r="C6" s="4" t="s">
        <v>96</v>
      </c>
    </row>
    <row r="7" spans="1:6" x14ac:dyDescent="0.25">
      <c r="A7" s="4">
        <v>1</v>
      </c>
      <c r="B7" s="4" t="s">
        <v>25</v>
      </c>
      <c r="C7" s="4" t="s">
        <v>23</v>
      </c>
    </row>
    <row r="8" spans="1:6" x14ac:dyDescent="0.25">
      <c r="A8" s="4">
        <v>2</v>
      </c>
      <c r="B8" s="4" t="s">
        <v>85</v>
      </c>
      <c r="C8" s="4" t="s">
        <v>97</v>
      </c>
    </row>
    <row r="9" spans="1:6" x14ac:dyDescent="0.25">
      <c r="A9" s="4">
        <v>2</v>
      </c>
      <c r="B9" s="4" t="s">
        <v>86</v>
      </c>
      <c r="C9" s="4" t="s">
        <v>98</v>
      </c>
    </row>
    <row r="10" spans="1:6" x14ac:dyDescent="0.25">
      <c r="A10" s="4">
        <v>3</v>
      </c>
      <c r="B10" s="4" t="s">
        <v>87</v>
      </c>
      <c r="C10" s="4" t="s">
        <v>99</v>
      </c>
    </row>
    <row r="11" spans="1:6" x14ac:dyDescent="0.25">
      <c r="A11" s="4">
        <v>3</v>
      </c>
      <c r="B11" s="4" t="s">
        <v>88</v>
      </c>
      <c r="C11" s="4" t="s">
        <v>100</v>
      </c>
    </row>
    <row r="12" spans="1:6" x14ac:dyDescent="0.25">
      <c r="A12" s="4">
        <v>4</v>
      </c>
      <c r="B12" s="4" t="s">
        <v>89</v>
      </c>
      <c r="C12" s="4" t="s">
        <v>101</v>
      </c>
    </row>
    <row r="13" spans="1:6" x14ac:dyDescent="0.25">
      <c r="A13" s="4">
        <v>4</v>
      </c>
      <c r="B13" s="4" t="s">
        <v>90</v>
      </c>
      <c r="C13" s="4" t="s">
        <v>102</v>
      </c>
    </row>
    <row r="14" spans="1:6" x14ac:dyDescent="0.25">
      <c r="A14" s="4">
        <v>5</v>
      </c>
      <c r="B14" s="4" t="s">
        <v>91</v>
      </c>
      <c r="C14" s="4" t="s">
        <v>103</v>
      </c>
    </row>
    <row r="15" spans="1:6" x14ac:dyDescent="0.25">
      <c r="A15" s="4">
        <v>5</v>
      </c>
      <c r="B15" s="4" t="s">
        <v>92</v>
      </c>
      <c r="C15" s="4" t="s">
        <v>104</v>
      </c>
    </row>
    <row r="16" spans="1:6" x14ac:dyDescent="0.25">
      <c r="A16" s="4">
        <v>6</v>
      </c>
      <c r="B16" s="4" t="s">
        <v>93</v>
      </c>
      <c r="C16" s="4" t="s">
        <v>105</v>
      </c>
    </row>
    <row r="17" spans="1:3" x14ac:dyDescent="0.25">
      <c r="A17" s="4">
        <v>6</v>
      </c>
      <c r="B17" s="4" t="s">
        <v>94</v>
      </c>
      <c r="C17" s="4" t="s">
        <v>106</v>
      </c>
    </row>
    <row r="18" spans="1:3" x14ac:dyDescent="0.25">
      <c r="A18" s="4">
        <v>7</v>
      </c>
      <c r="B18" s="4" t="s">
        <v>95</v>
      </c>
      <c r="C18" s="4" t="s">
        <v>107</v>
      </c>
    </row>
    <row r="19" spans="1:3" x14ac:dyDescent="0.25">
      <c r="A19" s="4">
        <v>7</v>
      </c>
      <c r="B19" s="4" t="s">
        <v>108</v>
      </c>
      <c r="C19" s="4" t="s">
        <v>109</v>
      </c>
    </row>
    <row r="20" spans="1:3" x14ac:dyDescent="0.25">
      <c r="A20" s="4">
        <v>8</v>
      </c>
      <c r="B20" s="4" t="s">
        <v>110</v>
      </c>
      <c r="C20" s="4" t="s">
        <v>111</v>
      </c>
    </row>
    <row r="21" spans="1:3" x14ac:dyDescent="0.25">
      <c r="A21" s="4">
        <v>8</v>
      </c>
      <c r="B21" s="4" t="s">
        <v>112</v>
      </c>
      <c r="C21" s="4" t="s">
        <v>113</v>
      </c>
    </row>
    <row r="22" spans="1:3" x14ac:dyDescent="0.25">
      <c r="A22" s="4">
        <v>9</v>
      </c>
      <c r="B22" s="4" t="s">
        <v>114</v>
      </c>
      <c r="C22" s="4" t="s">
        <v>115</v>
      </c>
    </row>
    <row r="23" spans="1:3" x14ac:dyDescent="0.25">
      <c r="A23" s="4">
        <v>9</v>
      </c>
      <c r="B23" s="4" t="s">
        <v>116</v>
      </c>
      <c r="C23" s="4" t="s">
        <v>117</v>
      </c>
    </row>
    <row r="24" spans="1:3" x14ac:dyDescent="0.25">
      <c r="A24" s="4">
        <v>10</v>
      </c>
      <c r="B24" s="4" t="s">
        <v>118</v>
      </c>
      <c r="C24" s="4" t="s">
        <v>119</v>
      </c>
    </row>
    <row r="25" spans="1:3" x14ac:dyDescent="0.25">
      <c r="A25" s="4">
        <v>10</v>
      </c>
      <c r="B25" s="4" t="s">
        <v>120</v>
      </c>
      <c r="C25" s="4" t="s">
        <v>121</v>
      </c>
    </row>
    <row r="26" spans="1:3" x14ac:dyDescent="0.25">
      <c r="A26" s="4">
        <v>11</v>
      </c>
      <c r="B26" s="4" t="s">
        <v>122</v>
      </c>
      <c r="C26" s="4" t="s">
        <v>123</v>
      </c>
    </row>
    <row r="27" spans="1:3" x14ac:dyDescent="0.25">
      <c r="A27" s="4">
        <v>11</v>
      </c>
      <c r="B27" s="4" t="s">
        <v>124</v>
      </c>
      <c r="C27" s="4" t="s">
        <v>125</v>
      </c>
    </row>
    <row r="28" spans="1:3" x14ac:dyDescent="0.25">
      <c r="A28" s="4">
        <v>12</v>
      </c>
      <c r="B28" s="4" t="s">
        <v>126</v>
      </c>
      <c r="C28" s="4" t="s">
        <v>127</v>
      </c>
    </row>
    <row r="29" spans="1:3" x14ac:dyDescent="0.25">
      <c r="A29" s="4">
        <v>12</v>
      </c>
      <c r="B29" s="4" t="s">
        <v>128</v>
      </c>
      <c r="C29" s="4" t="s">
        <v>129</v>
      </c>
    </row>
    <row r="30" spans="1:3" x14ac:dyDescent="0.25">
      <c r="A30" s="4">
        <v>13</v>
      </c>
      <c r="B30" s="4" t="s">
        <v>130</v>
      </c>
      <c r="C30" s="4" t="s">
        <v>131</v>
      </c>
    </row>
    <row r="31" spans="1:3" x14ac:dyDescent="0.25">
      <c r="A31" s="4">
        <v>13</v>
      </c>
      <c r="B31" s="4" t="s">
        <v>132</v>
      </c>
      <c r="C31" s="4" t="s">
        <v>133</v>
      </c>
    </row>
    <row r="32" spans="1:3" x14ac:dyDescent="0.25">
      <c r="A32" s="4">
        <v>14</v>
      </c>
      <c r="B32" s="4" t="s">
        <v>134</v>
      </c>
      <c r="C32" s="4" t="s">
        <v>135</v>
      </c>
    </row>
    <row r="33" spans="1:3" x14ac:dyDescent="0.25">
      <c r="A33" s="4">
        <v>14</v>
      </c>
      <c r="B33" s="4" t="s">
        <v>136</v>
      </c>
      <c r="C33" s="4" t="s">
        <v>137</v>
      </c>
    </row>
    <row r="34" spans="1:3" x14ac:dyDescent="0.25">
      <c r="A34" s="4">
        <v>15</v>
      </c>
      <c r="B34" s="4" t="s">
        <v>138</v>
      </c>
      <c r="C34" s="4" t="s">
        <v>139</v>
      </c>
    </row>
    <row r="35" spans="1:3" x14ac:dyDescent="0.25">
      <c r="A35" s="4">
        <v>15</v>
      </c>
      <c r="B35" s="4" t="s">
        <v>140</v>
      </c>
      <c r="C35" s="4" t="s">
        <v>141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12</vt:i4>
      </vt:variant>
    </vt:vector>
  </HeadingPairs>
  <TitlesOfParts>
    <vt:vector size="18" baseType="lpstr">
      <vt:lpstr>Настройки</vt:lpstr>
      <vt:lpstr>Переменные</vt:lpstr>
      <vt:lpstr>Переменные таблиц</vt:lpstr>
      <vt:lpstr>Табл Спецификация</vt:lpstr>
      <vt:lpstr>Табл Test1</vt:lpstr>
      <vt:lpstr>Табл Test2</vt:lpstr>
      <vt:lpstr>copy_tables_to_word</vt:lpstr>
      <vt:lpstr>create_pdf</vt:lpstr>
      <vt:lpstr>merge_pdf</vt:lpstr>
      <vt:lpstr>merged_pdf_filename</vt:lpstr>
      <vt:lpstr>name_template</vt:lpstr>
      <vt:lpstr>open_dest_folder</vt:lpstr>
      <vt:lpstr>pdf_merge_program</vt:lpstr>
      <vt:lpstr>save_folder_path</vt:lpstr>
      <vt:lpstr>save_var_on_sync</vt:lpstr>
      <vt:lpstr>template_name</vt:lpstr>
      <vt:lpstr>template_path</vt:lpstr>
      <vt:lpstr>var_format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Roadsleadme</dc:creator>
  <cp:lastModifiedBy>Sergey V Egorov</cp:lastModifiedBy>
  <cp:lastPrinted>2022-11-20T17:39:03Z</cp:lastPrinted>
  <dcterms:created xsi:type="dcterms:W3CDTF">2022-11-11T17:35:35Z</dcterms:created>
  <dcterms:modified xsi:type="dcterms:W3CDTF">2025-05-23T06:01:58Z</dcterms:modified>
</cp:coreProperties>
</file>